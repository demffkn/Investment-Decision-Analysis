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3" sheetId="2" r:id="rId6"/>
    <sheet state="visible" name="Sheet4" sheetId="3" r:id="rId7"/>
    <sheet state="visible" name="P-value and x2" sheetId="4" r:id="rId8"/>
    <sheet state="visible" name="Cov" sheetId="5" r:id="rId9"/>
    <sheet state="visible" name="Sheet6" sheetId="6" r:id="rId10"/>
    <sheet state="visible" name="Regression Cola" sheetId="7" r:id="rId11"/>
    <sheet state="visible" name="Regression for Pepsi" sheetId="8" r:id="rId12"/>
  </sheets>
  <definedNames/>
  <calcPr/>
</workbook>
</file>

<file path=xl/sharedStrings.xml><?xml version="1.0" encoding="utf-8"?>
<sst xmlns="http://schemas.openxmlformats.org/spreadsheetml/2006/main" count="105" uniqueCount="65">
  <si>
    <t>KO(CocaCola)</t>
  </si>
  <si>
    <t>Date</t>
  </si>
  <si>
    <t>Open</t>
  </si>
  <si>
    <t>High</t>
  </si>
  <si>
    <t>Low</t>
  </si>
  <si>
    <t>Close</t>
  </si>
  <si>
    <t>Adj Close</t>
  </si>
  <si>
    <t>Volume</t>
  </si>
  <si>
    <t>0.51 Dividend</t>
  </si>
  <si>
    <t>1.423 Dividend</t>
  </si>
  <si>
    <t>1.355 Dividend</t>
  </si>
  <si>
    <t>Adj Close for KO(Coca Cola)</t>
  </si>
  <si>
    <t>Adj Close for PEP (Pepsi)</t>
  </si>
  <si>
    <t>Adj Close  Adjusted close price adjusted for splits and dividend and/or capital gain distributions.</t>
  </si>
  <si>
    <t>Cola</t>
  </si>
  <si>
    <t>Pepsi</t>
  </si>
  <si>
    <t>Weekly returns based on adj prices to the left for COLA</t>
  </si>
  <si>
    <t>Weekly returns based on adj prices to the left for PEPSI</t>
  </si>
  <si>
    <t>KO Cola</t>
  </si>
  <si>
    <t>PEP Pepsi</t>
  </si>
  <si>
    <t>Max</t>
  </si>
  <si>
    <t>Min</t>
  </si>
  <si>
    <t>Range</t>
  </si>
  <si>
    <t>Q3</t>
  </si>
  <si>
    <t>Q1</t>
  </si>
  <si>
    <t>IQR, Interquartile range=q3-q1</t>
  </si>
  <si>
    <t>Mean</t>
  </si>
  <si>
    <t>Mean Absolute Deviation</t>
  </si>
  <si>
    <t>Sample Variance</t>
  </si>
  <si>
    <t>Sample Standard Deviation</t>
  </si>
  <si>
    <t>Fence</t>
  </si>
  <si>
    <t>Week</t>
  </si>
  <si>
    <t>COLA</t>
  </si>
  <si>
    <t>PEPSI</t>
  </si>
  <si>
    <t>CV</t>
  </si>
  <si>
    <t>MIN</t>
  </si>
  <si>
    <t>MAX</t>
  </si>
  <si>
    <t>Z MIN</t>
  </si>
  <si>
    <t>Z MAX</t>
  </si>
  <si>
    <t>T bill</t>
  </si>
  <si>
    <t>Sharpe ratio</t>
  </si>
  <si>
    <t xml:space="preserve">Ho(Null Hypothesis)σ² </t>
  </si>
  <si>
    <t>N</t>
  </si>
  <si>
    <t>DOF</t>
  </si>
  <si>
    <t xml:space="preserve">STDEV.S </t>
  </si>
  <si>
    <t xml:space="preserve">STDEV.P </t>
  </si>
  <si>
    <t xml:space="preserve">s² </t>
  </si>
  <si>
    <t>α</t>
  </si>
  <si>
    <t>0.05</t>
  </si>
  <si>
    <t>χ²</t>
  </si>
  <si>
    <t>P-value</t>
  </si>
  <si>
    <t>0.85 &gt; 0.05</t>
  </si>
  <si>
    <t>0.89 &gt; 0.05</t>
  </si>
  <si>
    <t>fails to reject the Ho</t>
  </si>
  <si>
    <t>Dev COLA</t>
  </si>
  <si>
    <t>Dev PEPSI</t>
  </si>
  <si>
    <t>PRODUCT</t>
  </si>
  <si>
    <t>Cov</t>
  </si>
  <si>
    <t>Correlation</t>
  </si>
  <si>
    <t>manual</t>
  </si>
  <si>
    <t>stdve</t>
  </si>
  <si>
    <t>^GSPC</t>
  </si>
  <si>
    <t>wekkly return for Cola</t>
  </si>
  <si>
    <t>DO NOT CHANGE THIS COLUMN</t>
  </si>
  <si>
    <t>wekkly return for Pepsi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</si>
</sst>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m d, yyyy"/>
    <numFmt numFmtId="165" formatCode="mmmm d, yyyy"/>
    <numFmt numFmtId="166" formatCode="dd.mm.yyyy"/>
    <numFmt numFmtId="167" formatCode="0.000"/>
    <numFmt numFmtId="168" formatCode="#,##0.0000"/>
    <numFmt numFmtId="169" formatCode="#,##0.000"/>
    <numFmt numFmtId="170" formatCode="#,##0.000000"/>
    <numFmt numFmtId="171" formatCode="dd/MM/yyyy"/>
    <numFmt numFmtId="172" formatCode="0.0000%"/>
    <numFmt numFmtId="173" formatCode="M/d/yyyy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</font>
    <font>
      <b/>
      <color theme="1"/>
      <name val="Arial"/>
    </font>
    <font>
      <b/>
      <sz val="12.0"/>
      <color rgb="FF232A31"/>
      <name val="Arial"/>
    </font>
    <font>
      <b/>
      <u/>
      <sz val="12.0"/>
      <color rgb="FF232A31"/>
      <name val="Arial"/>
    </font>
    <font>
      <b/>
      <color rgb="FF000000"/>
      <name val="Arial"/>
    </font>
    <font>
      <b/>
      <color rgb="FFFF0000"/>
      <name val="Arial"/>
    </font>
    <font>
      <color theme="1"/>
      <name val="&quot;Google Sans Text&quot;"/>
    </font>
    <font>
      <b/>
      <u/>
      <sz val="12.0"/>
      <color rgb="FF232A31"/>
      <name val="Arial"/>
    </font>
    <font>
      <b/>
      <u/>
      <color rgb="FF1155CC"/>
      <name val="Arial"/>
    </font>
    <font>
      <b/>
      <color theme="1"/>
      <name val="Roboto"/>
    </font>
    <font>
      <b/>
      <sz val="8.0"/>
      <color theme="1"/>
      <name val="Roboto"/>
    </font>
    <font/>
    <font>
      <color theme="1"/>
      <name val="Roboto"/>
    </font>
    <font>
      <color theme="1"/>
      <name val="Aptos Narrow"/>
    </font>
  </fonts>
  <fills count="11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D7E6B"/>
        <bgColor rgb="FFDD7E6B"/>
      </patternFill>
    </fill>
    <fill>
      <patternFill patternType="solid">
        <fgColor rgb="FFFF00FF"/>
        <bgColor rgb="FFFF00FF"/>
      </patternFill>
    </fill>
    <fill>
      <patternFill patternType="solid">
        <fgColor rgb="FFFAF9F9"/>
        <bgColor rgb="FFFAF9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166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10" xfId="0" applyAlignment="1" applyFill="1" applyFont="1" applyNumberFormat="1">
      <alignment readingOrder="0" shrinkToFit="0" wrapText="1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shrinkToFit="0" wrapText="1"/>
    </xf>
    <xf borderId="0" fillId="2" fontId="1" numFmtId="10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7" numFmtId="10" xfId="0" applyAlignment="1" applyFont="1" applyNumberFormat="1">
      <alignment vertical="bottom"/>
    </xf>
    <xf borderId="0" fillId="0" fontId="1" numFmtId="167" xfId="0" applyFont="1" applyNumberFormat="1"/>
    <xf borderId="0" fillId="2" fontId="1" numFmtId="10" xfId="0" applyFont="1" applyNumberFormat="1"/>
    <xf borderId="0" fillId="3" fontId="6" numFmtId="0" xfId="0" applyAlignment="1" applyFill="1" applyFont="1">
      <alignment vertical="bottom"/>
    </xf>
    <xf borderId="0" fillId="0" fontId="6" numFmtId="10" xfId="0" applyAlignment="1" applyFont="1" applyNumberFormat="1">
      <alignment horizontal="right" vertical="bottom"/>
    </xf>
    <xf borderId="0" fillId="0" fontId="6" numFmtId="10" xfId="0" applyAlignment="1" applyFont="1" applyNumberFormat="1">
      <alignment vertical="bottom"/>
    </xf>
    <xf borderId="0" fillId="0" fontId="1" numFmtId="10" xfId="0" applyFont="1" applyNumberFormat="1"/>
    <xf borderId="0" fillId="0" fontId="1" numFmtId="168" xfId="0" applyFont="1" applyNumberFormat="1"/>
    <xf borderId="0" fillId="3" fontId="1" numFmtId="0" xfId="0" applyFont="1"/>
    <xf borderId="0" fillId="0" fontId="1" numFmtId="4" xfId="0" applyFont="1" applyNumberForma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1" numFmtId="166" xfId="0" applyFont="1" applyNumberFormat="1"/>
    <xf borderId="1" fillId="4" fontId="4" numFmtId="0" xfId="0" applyAlignment="1" applyBorder="1" applyFill="1" applyFont="1">
      <alignment readingOrder="0"/>
    </xf>
    <xf borderId="1" fillId="0" fontId="6" numFmtId="0" xfId="0" applyAlignment="1" applyBorder="1" applyFont="1">
      <alignment vertical="bottom"/>
    </xf>
    <xf borderId="1" fillId="2" fontId="8" numFmtId="0" xfId="0" applyAlignment="1" applyBorder="1" applyFont="1">
      <alignment readingOrder="0" vertical="bottom"/>
    </xf>
    <xf borderId="1" fillId="2" fontId="9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1" numFmtId="10" xfId="0" applyBorder="1" applyFont="1" applyNumberFormat="1"/>
    <xf borderId="1" fillId="0" fontId="7" numFmtId="0" xfId="0" applyAlignment="1" applyBorder="1" applyFont="1">
      <alignment vertical="bottom"/>
    </xf>
    <xf borderId="1" fillId="5" fontId="7" numFmtId="10" xfId="0" applyAlignment="1" applyBorder="1" applyFill="1" applyFont="1" applyNumberFormat="1">
      <alignment horizontal="center" vertical="bottom"/>
    </xf>
    <xf borderId="1" fillId="5" fontId="6" numFmtId="10" xfId="0" applyAlignment="1" applyBorder="1" applyFont="1" applyNumberFormat="1">
      <alignment horizontal="center" vertical="bottom"/>
    </xf>
    <xf borderId="1" fillId="0" fontId="7" numFmtId="10" xfId="0" applyAlignment="1" applyBorder="1" applyFont="1" applyNumberFormat="1">
      <alignment horizontal="center" vertical="bottom"/>
    </xf>
    <xf borderId="1" fillId="0" fontId="10" numFmtId="10" xfId="0" applyAlignment="1" applyBorder="1" applyFont="1" applyNumberFormat="1">
      <alignment horizontal="center" vertical="bottom"/>
    </xf>
    <xf borderId="1" fillId="0" fontId="11" numFmtId="10" xfId="0" applyAlignment="1" applyBorder="1" applyFont="1" applyNumberFormat="1">
      <alignment horizontal="center" vertical="bottom"/>
    </xf>
    <xf borderId="1" fillId="0" fontId="6" numFmtId="169" xfId="0" applyAlignment="1" applyBorder="1" applyFont="1" applyNumberFormat="1">
      <alignment horizontal="right" vertical="bottom"/>
    </xf>
    <xf borderId="1" fillId="6" fontId="6" numFmtId="0" xfId="0" applyAlignment="1" applyBorder="1" applyFill="1" applyFont="1">
      <alignment vertical="bottom"/>
    </xf>
    <xf borderId="1" fillId="0" fontId="6" numFmtId="10" xfId="0" applyAlignment="1" applyBorder="1" applyFont="1" applyNumberFormat="1">
      <alignment horizontal="right" vertical="bottom"/>
    </xf>
    <xf borderId="2" fillId="7" fontId="7" numFmtId="2" xfId="0" applyAlignment="1" applyBorder="1" applyFill="1" applyFont="1" applyNumberFormat="1">
      <alignment horizontal="right" vertical="bottom"/>
    </xf>
    <xf borderId="0" fillId="6" fontId="6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1" fillId="0" fontId="1" numFmtId="0" xfId="0" applyBorder="1" applyFont="1"/>
    <xf borderId="0" fillId="0" fontId="6" numFmtId="0" xfId="0" applyAlignment="1" applyFont="1">
      <alignment readingOrder="0" vertical="bottom"/>
    </xf>
    <xf borderId="0" fillId="6" fontId="1" numFmtId="0" xfId="0" applyFont="1"/>
    <xf borderId="0" fillId="0" fontId="6" numFmtId="3" xfId="0" applyAlignment="1" applyFont="1" applyNumberForma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6" numFmtId="168" xfId="0" applyAlignment="1" applyFont="1" applyNumberFormat="1">
      <alignment horizontal="right" vertical="bottom"/>
    </xf>
    <xf borderId="0" fillId="0" fontId="1" numFmtId="170" xfId="0" applyAlignment="1" applyFont="1" applyNumberFormat="1">
      <alignment readingOrder="0"/>
    </xf>
    <xf borderId="0" fillId="0" fontId="1" numFmtId="0" xfId="0" applyFont="1"/>
    <xf borderId="0" fillId="0" fontId="1" numFmtId="171" xfId="0" applyFont="1" applyNumberFormat="1"/>
    <xf borderId="0" fillId="0" fontId="12" numFmtId="0" xfId="0" applyAlignment="1" applyFont="1">
      <alignment readingOrder="0"/>
    </xf>
    <xf borderId="0" fillId="6" fontId="6" numFmtId="10" xfId="0" applyAlignment="1" applyFont="1" applyNumberFormat="1">
      <alignment horizontal="right" vertical="bottom"/>
    </xf>
    <xf borderId="0" fillId="6" fontId="7" numFmtId="2" xfId="0" applyAlignment="1" applyFont="1" applyNumberFormat="1">
      <alignment horizontal="right" vertical="bottom"/>
    </xf>
    <xf borderId="0" fillId="6" fontId="6" numFmtId="4" xfId="0" applyAlignment="1" applyFont="1" applyNumberFormat="1">
      <alignment horizontal="right" vertical="bottom"/>
    </xf>
    <xf borderId="0" fillId="4" fontId="1" numFmtId="0" xfId="0" applyAlignment="1" applyFont="1">
      <alignment readingOrder="0"/>
    </xf>
    <xf borderId="0" fillId="0" fontId="6" numFmtId="2" xfId="0" applyAlignment="1" applyFont="1" applyNumberFormat="1">
      <alignment vertical="top"/>
    </xf>
    <xf borderId="0" fillId="8" fontId="8" numFmtId="0" xfId="0" applyAlignment="1" applyFill="1" applyFont="1">
      <alignment readingOrder="0" vertical="bottom"/>
    </xf>
    <xf borderId="0" fillId="8" fontId="13" numFmtId="0" xfId="0" applyAlignment="1" applyFont="1">
      <alignment readingOrder="0" vertical="bottom"/>
    </xf>
    <xf borderId="1" fillId="0" fontId="6" numFmtId="172" xfId="0" applyAlignment="1" applyBorder="1" applyFont="1" applyNumberFormat="1">
      <alignment horizontal="right" vertical="bottom"/>
    </xf>
    <xf borderId="0" fillId="6" fontId="7" numFmtId="4" xfId="0" applyAlignment="1" applyFont="1" applyNumberFormat="1">
      <alignment horizontal="center" vertical="bottom"/>
    </xf>
    <xf borderId="0" fillId="6" fontId="7" numFmtId="170" xfId="0" applyAlignment="1" applyFont="1" applyNumberFormat="1">
      <alignment horizontal="center" vertical="bottom"/>
    </xf>
    <xf borderId="0" fillId="6" fontId="6" numFmtId="170" xfId="0" applyAlignment="1" applyFont="1" applyNumberFormat="1">
      <alignment vertical="bottom"/>
    </xf>
    <xf borderId="0" fillId="6" fontId="6" numFmtId="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7" numFmtId="171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6" numFmtId="171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vertical="bottom"/>
    </xf>
    <xf borderId="0" fillId="0" fontId="6" numFmtId="171" xfId="0" applyAlignment="1" applyFont="1" applyNumberFormat="1">
      <alignment vertical="bottom"/>
    </xf>
    <xf borderId="2" fillId="9" fontId="15" numFmtId="0" xfId="0" applyAlignment="1" applyBorder="1" applyFill="1" applyFont="1">
      <alignment horizontal="center" shrinkToFit="0" vertical="top" wrapText="1"/>
    </xf>
    <xf borderId="0" fillId="9" fontId="6" numFmtId="173" xfId="0" applyAlignment="1" applyFont="1" applyNumberFormat="1">
      <alignment vertical="bottom"/>
    </xf>
    <xf borderId="0" fillId="9" fontId="15" numFmtId="4" xfId="0" applyAlignment="1" applyFont="1" applyNumberFormat="1">
      <alignment readingOrder="0" shrinkToFit="0" vertical="bottom" wrapText="1"/>
    </xf>
    <xf borderId="0" fillId="9" fontId="6" numFmtId="3" xfId="0" applyAlignment="1" applyFont="1" applyNumberFormat="1">
      <alignment readingOrder="0" vertical="bottom"/>
    </xf>
    <xf borderId="3" fillId="9" fontId="16" numFmtId="0" xfId="0" applyAlignment="1" applyBorder="1" applyFont="1">
      <alignment horizontal="center" shrinkToFit="0" vertical="top" wrapText="1"/>
    </xf>
    <xf borderId="0" fillId="0" fontId="1" numFmtId="3" xfId="0" applyFont="1" applyNumberFormat="1"/>
    <xf borderId="4" fillId="0" fontId="17" numFmtId="0" xfId="0" applyBorder="1" applyFont="1"/>
    <xf borderId="2" fillId="9" fontId="18" numFmtId="0" xfId="0" applyAlignment="1" applyBorder="1" applyFont="1">
      <alignment horizontal="center" vertical="top"/>
    </xf>
    <xf borderId="0" fillId="0" fontId="19" numFmtId="0" xfId="0" applyAlignment="1" applyFont="1">
      <alignment vertical="bottom"/>
    </xf>
    <xf borderId="0" fillId="10" fontId="19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PEPSI vs. COLA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Cov!$B$1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Cov!$C$2:$C$53</c:f>
            </c:numRef>
          </c:xVal>
          <c:yVal>
            <c:numRef>
              <c:f>Cov!$B$2:$B$53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377176"/>
        <c:axId val="1326093805"/>
      </c:scatterChart>
      <c:valAx>
        <c:axId val="14473771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6093805"/>
      </c:valAx>
      <c:valAx>
        <c:axId val="1326093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PEPSI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3771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6</xdr:row>
      <xdr:rowOff>171450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8134350" cy="480060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0</xdr:row>
      <xdr:rowOff>333375</xdr:rowOff>
    </xdr:from>
    <xdr:ext cx="8096250" cy="4924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KO/history/?period1=1738540800&amp;period2=1770076800&amp;frequency=1wk" TargetMode="External"/><Relationship Id="rId2" Type="http://schemas.openxmlformats.org/officeDocument/2006/relationships/hyperlink" Target="https://finance.yahoo.com/quote/PEP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%5EGSPC/history/?period1=1739078550&amp;period2=1770614548&amp;frequency=1w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I2" s="2" t="s">
        <v>1</v>
      </c>
      <c r="J2" s="2" t="s">
        <v>2</v>
      </c>
      <c r="K2" s="2" t="s">
        <v>3</v>
      </c>
      <c r="L2" s="2" t="s">
        <v>4</v>
      </c>
      <c r="M2" s="2" t="s">
        <v>5</v>
      </c>
      <c r="N2" s="2" t="s">
        <v>6</v>
      </c>
      <c r="O2" s="2" t="s">
        <v>7</v>
      </c>
    </row>
    <row r="3">
      <c r="A3" s="3">
        <v>46055.0</v>
      </c>
      <c r="B3" s="4">
        <v>75.01</v>
      </c>
      <c r="C3" s="4">
        <v>75.7</v>
      </c>
      <c r="D3" s="4">
        <v>74.4</v>
      </c>
      <c r="E3" s="4">
        <v>75.33</v>
      </c>
      <c r="F3" s="4">
        <v>75.33</v>
      </c>
      <c r="G3" s="5">
        <v>1.93015E7</v>
      </c>
      <c r="I3" s="3">
        <v>46055.0</v>
      </c>
      <c r="J3" s="4">
        <v>154.06</v>
      </c>
      <c r="K3" s="4">
        <v>156.62</v>
      </c>
      <c r="L3" s="4">
        <v>153.19</v>
      </c>
      <c r="M3" s="4">
        <v>155.2</v>
      </c>
      <c r="N3" s="4">
        <v>153.83</v>
      </c>
      <c r="O3" s="5">
        <v>1.46605E7</v>
      </c>
    </row>
    <row r="4">
      <c r="A4" s="3">
        <v>46048.0</v>
      </c>
      <c r="B4" s="4">
        <v>72.86</v>
      </c>
      <c r="C4" s="4">
        <v>74.9</v>
      </c>
      <c r="D4" s="4">
        <v>72.27</v>
      </c>
      <c r="E4" s="4">
        <v>74.81</v>
      </c>
      <c r="F4" s="4">
        <v>74.81</v>
      </c>
      <c r="G4" s="5">
        <v>8.91729E7</v>
      </c>
      <c r="I4" s="3">
        <v>46048.0</v>
      </c>
      <c r="J4" s="4">
        <v>144.8</v>
      </c>
      <c r="K4" s="4">
        <v>153.89</v>
      </c>
      <c r="L4" s="4">
        <v>144.14</v>
      </c>
      <c r="M4" s="4">
        <v>153.63</v>
      </c>
      <c r="N4" s="4">
        <v>152.27</v>
      </c>
      <c r="O4" s="5">
        <v>4.13622E7</v>
      </c>
    </row>
    <row r="5">
      <c r="A5" s="3">
        <v>46041.0</v>
      </c>
      <c r="B5" s="4">
        <v>70.0</v>
      </c>
      <c r="C5" s="4">
        <v>73.06</v>
      </c>
      <c r="D5" s="4">
        <v>69.79</v>
      </c>
      <c r="E5" s="4">
        <v>72.88</v>
      </c>
      <c r="F5" s="4">
        <v>72.88</v>
      </c>
      <c r="G5" s="5">
        <v>7.60827E7</v>
      </c>
      <c r="I5" s="3">
        <v>46041.0</v>
      </c>
      <c r="J5" s="4">
        <v>146.22</v>
      </c>
      <c r="K5" s="4">
        <v>148.01</v>
      </c>
      <c r="L5" s="4">
        <v>143.06</v>
      </c>
      <c r="M5" s="4">
        <v>144.58</v>
      </c>
      <c r="N5" s="4">
        <v>143.3</v>
      </c>
      <c r="O5" s="5">
        <v>3.16999E7</v>
      </c>
    </row>
    <row r="6">
      <c r="A6" s="3">
        <v>46034.0</v>
      </c>
      <c r="B6" s="4">
        <v>70.9</v>
      </c>
      <c r="C6" s="4">
        <v>71.71</v>
      </c>
      <c r="D6" s="4">
        <v>70.04</v>
      </c>
      <c r="E6" s="4">
        <v>70.44</v>
      </c>
      <c r="F6" s="4">
        <v>70.44</v>
      </c>
      <c r="G6" s="5">
        <v>9.1138E7</v>
      </c>
      <c r="I6" s="3">
        <v>46034.0</v>
      </c>
      <c r="J6" s="4">
        <v>139.91</v>
      </c>
      <c r="K6" s="4">
        <v>147.55</v>
      </c>
      <c r="L6" s="4">
        <v>138.56</v>
      </c>
      <c r="M6" s="4">
        <v>146.32</v>
      </c>
      <c r="N6" s="4">
        <v>145.02</v>
      </c>
      <c r="O6" s="5">
        <v>4.56944E7</v>
      </c>
    </row>
    <row r="7">
      <c r="A7" s="3">
        <v>46027.0</v>
      </c>
      <c r="B7" s="4">
        <v>68.92</v>
      </c>
      <c r="C7" s="4">
        <v>70.66</v>
      </c>
      <c r="D7" s="4">
        <v>67.27</v>
      </c>
      <c r="E7" s="4">
        <v>70.51</v>
      </c>
      <c r="F7" s="4">
        <v>70.51</v>
      </c>
      <c r="G7" s="5">
        <v>1.013055E8</v>
      </c>
      <c r="I7" s="3">
        <v>46027.0</v>
      </c>
      <c r="J7" s="4">
        <v>141.66</v>
      </c>
      <c r="K7" s="4">
        <v>141.81</v>
      </c>
      <c r="L7" s="4">
        <v>136.01</v>
      </c>
      <c r="M7" s="4">
        <v>139.91</v>
      </c>
      <c r="N7" s="4">
        <v>138.67</v>
      </c>
      <c r="O7" s="5">
        <v>4.26781E7</v>
      </c>
    </row>
    <row r="8">
      <c r="A8" s="3">
        <v>46020.0</v>
      </c>
      <c r="B8" s="4">
        <v>70.0</v>
      </c>
      <c r="C8" s="4">
        <v>70.42</v>
      </c>
      <c r="D8" s="4">
        <v>68.98</v>
      </c>
      <c r="E8" s="4">
        <v>69.12</v>
      </c>
      <c r="F8" s="4">
        <v>69.12</v>
      </c>
      <c r="G8" s="5">
        <v>3.85769E7</v>
      </c>
      <c r="I8" s="3">
        <v>46020.0</v>
      </c>
      <c r="J8" s="4">
        <v>143.74</v>
      </c>
      <c r="K8" s="4">
        <v>145.27</v>
      </c>
      <c r="L8" s="4">
        <v>142.1</v>
      </c>
      <c r="M8" s="4">
        <v>142.23</v>
      </c>
      <c r="N8" s="4">
        <v>140.97</v>
      </c>
      <c r="O8" s="5">
        <v>2.34781E7</v>
      </c>
    </row>
    <row r="9">
      <c r="A9" s="3">
        <v>46013.0</v>
      </c>
      <c r="B9" s="4">
        <v>69.93</v>
      </c>
      <c r="C9" s="4">
        <v>70.26</v>
      </c>
      <c r="D9" s="4">
        <v>69.66</v>
      </c>
      <c r="E9" s="4">
        <v>69.87</v>
      </c>
      <c r="F9" s="4">
        <v>69.87</v>
      </c>
      <c r="G9" s="5">
        <v>3.25262E7</v>
      </c>
      <c r="I9" s="3">
        <v>46013.0</v>
      </c>
      <c r="J9" s="4">
        <v>147.53</v>
      </c>
      <c r="K9" s="4">
        <v>148.98</v>
      </c>
      <c r="L9" s="4">
        <v>142.95</v>
      </c>
      <c r="M9" s="4">
        <v>143.78</v>
      </c>
      <c r="N9" s="4">
        <v>142.51</v>
      </c>
      <c r="O9" s="5">
        <v>2.36677E7</v>
      </c>
    </row>
    <row r="10">
      <c r="A10" s="3">
        <v>46006.0</v>
      </c>
      <c r="B10" s="4">
        <v>70.43</v>
      </c>
      <c r="C10" s="4">
        <v>71.32</v>
      </c>
      <c r="D10" s="4">
        <v>70.03</v>
      </c>
      <c r="E10" s="4">
        <v>70.06</v>
      </c>
      <c r="F10" s="4">
        <v>70.06</v>
      </c>
      <c r="G10" s="5">
        <v>1.021387E8</v>
      </c>
      <c r="I10" s="3">
        <v>46006.0</v>
      </c>
      <c r="J10" s="4">
        <v>150.94</v>
      </c>
      <c r="K10" s="4">
        <v>152.35</v>
      </c>
      <c r="L10" s="4">
        <v>147.9</v>
      </c>
      <c r="M10" s="4">
        <v>148.16</v>
      </c>
      <c r="N10" s="4">
        <v>146.85</v>
      </c>
      <c r="O10" s="5">
        <v>4.81837E7</v>
      </c>
    </row>
    <row r="11">
      <c r="A11" s="3">
        <v>45999.0</v>
      </c>
      <c r="B11" s="4">
        <v>69.84</v>
      </c>
      <c r="C11" s="4">
        <v>70.69</v>
      </c>
      <c r="D11" s="4">
        <v>68.79</v>
      </c>
      <c r="E11" s="4">
        <v>70.52</v>
      </c>
      <c r="F11" s="4">
        <v>70.52</v>
      </c>
      <c r="G11" s="5">
        <v>1.021438E8</v>
      </c>
      <c r="I11" s="3">
        <v>45999.0</v>
      </c>
      <c r="J11" s="4">
        <v>145.01</v>
      </c>
      <c r="K11" s="4">
        <v>150.89</v>
      </c>
      <c r="L11" s="4">
        <v>143.91</v>
      </c>
      <c r="M11" s="4">
        <v>150.65</v>
      </c>
      <c r="N11" s="4">
        <v>149.32</v>
      </c>
      <c r="O11" s="5">
        <v>5.08861E7</v>
      </c>
    </row>
    <row r="12">
      <c r="A12" s="3">
        <v>45992.0</v>
      </c>
      <c r="B12" s="4" t="s">
        <v>8</v>
      </c>
      <c r="I12" s="3">
        <v>45996.0</v>
      </c>
      <c r="J12" s="4" t="s">
        <v>9</v>
      </c>
    </row>
    <row r="13">
      <c r="A13" s="3">
        <v>45992.0</v>
      </c>
      <c r="B13" s="4">
        <v>72.6</v>
      </c>
      <c r="C13" s="4">
        <v>72.91</v>
      </c>
      <c r="D13" s="4">
        <v>69.87</v>
      </c>
      <c r="E13" s="4">
        <v>70.0</v>
      </c>
      <c r="F13" s="4">
        <v>69.51</v>
      </c>
      <c r="G13" s="5">
        <v>8.29493E7</v>
      </c>
      <c r="I13" s="3">
        <v>45992.0</v>
      </c>
      <c r="J13" s="4">
        <v>148.63</v>
      </c>
      <c r="K13" s="4">
        <v>150.7</v>
      </c>
      <c r="L13" s="4">
        <v>144.51</v>
      </c>
      <c r="M13" s="4">
        <v>145.02</v>
      </c>
      <c r="N13" s="4">
        <v>142.34</v>
      </c>
      <c r="O13" s="5">
        <v>3.23371E7</v>
      </c>
    </row>
    <row r="14">
      <c r="A14" s="3">
        <v>45985.0</v>
      </c>
      <c r="B14" s="4">
        <v>73.16</v>
      </c>
      <c r="C14" s="4">
        <v>73.23</v>
      </c>
      <c r="D14" s="4">
        <v>71.57</v>
      </c>
      <c r="E14" s="4">
        <v>73.12</v>
      </c>
      <c r="F14" s="4">
        <v>72.61</v>
      </c>
      <c r="G14" s="5">
        <v>7.64879E7</v>
      </c>
      <c r="I14" s="3">
        <v>45985.0</v>
      </c>
      <c r="J14" s="4">
        <v>145.83</v>
      </c>
      <c r="K14" s="4">
        <v>148.82</v>
      </c>
      <c r="L14" s="4">
        <v>144.76</v>
      </c>
      <c r="M14" s="4">
        <v>148.74</v>
      </c>
      <c r="N14" s="4">
        <v>145.99</v>
      </c>
      <c r="O14" s="5">
        <v>2.64953E7</v>
      </c>
    </row>
    <row r="15">
      <c r="A15" s="3">
        <v>45978.0</v>
      </c>
      <c r="B15" s="4">
        <v>71.2</v>
      </c>
      <c r="C15" s="4">
        <v>73.19</v>
      </c>
      <c r="D15" s="4">
        <v>70.57</v>
      </c>
      <c r="E15" s="4">
        <v>72.95</v>
      </c>
      <c r="F15" s="4">
        <v>72.44</v>
      </c>
      <c r="G15" s="5">
        <v>8.19017E7</v>
      </c>
      <c r="I15" s="3">
        <v>45978.0</v>
      </c>
      <c r="J15" s="4">
        <v>146.12</v>
      </c>
      <c r="K15" s="4">
        <v>149.83</v>
      </c>
      <c r="L15" s="4">
        <v>144.9</v>
      </c>
      <c r="M15" s="4">
        <v>146.33</v>
      </c>
      <c r="N15" s="4">
        <v>143.63</v>
      </c>
      <c r="O15" s="5">
        <v>4.10556E7</v>
      </c>
    </row>
    <row r="16">
      <c r="A16" s="3">
        <v>45971.0</v>
      </c>
      <c r="B16" s="4">
        <v>70.01</v>
      </c>
      <c r="C16" s="4">
        <v>71.89</v>
      </c>
      <c r="D16" s="4">
        <v>69.44</v>
      </c>
      <c r="E16" s="4">
        <v>71.16</v>
      </c>
      <c r="F16" s="4">
        <v>70.66</v>
      </c>
      <c r="G16" s="5">
        <v>7.22656E7</v>
      </c>
      <c r="I16" s="3">
        <v>45971.0</v>
      </c>
      <c r="J16" s="4">
        <v>142.49</v>
      </c>
      <c r="K16" s="4">
        <v>146.84</v>
      </c>
      <c r="L16" s="4">
        <v>141.26</v>
      </c>
      <c r="M16" s="4">
        <v>145.85</v>
      </c>
      <c r="N16" s="4">
        <v>143.16</v>
      </c>
      <c r="O16" s="5">
        <v>3.2525E7</v>
      </c>
    </row>
    <row r="17">
      <c r="A17" s="3">
        <v>45964.0</v>
      </c>
      <c r="B17" s="4">
        <v>68.8</v>
      </c>
      <c r="C17" s="4">
        <v>70.87</v>
      </c>
      <c r="D17" s="4">
        <v>67.66</v>
      </c>
      <c r="E17" s="4">
        <v>70.55</v>
      </c>
      <c r="F17" s="4">
        <v>70.06</v>
      </c>
      <c r="G17" s="5">
        <v>8.22693E7</v>
      </c>
      <c r="I17" s="3">
        <v>45964.0</v>
      </c>
      <c r="J17" s="4">
        <v>145.86</v>
      </c>
      <c r="K17" s="4">
        <v>145.91</v>
      </c>
      <c r="L17" s="4">
        <v>141.3</v>
      </c>
      <c r="M17" s="4">
        <v>142.95</v>
      </c>
      <c r="N17" s="4">
        <v>140.31</v>
      </c>
      <c r="O17" s="5">
        <v>3.78125E7</v>
      </c>
    </row>
    <row r="18">
      <c r="A18" s="3">
        <v>45957.0</v>
      </c>
      <c r="B18" s="4">
        <v>69.78</v>
      </c>
      <c r="C18" s="4">
        <v>70.9</v>
      </c>
      <c r="D18" s="4">
        <v>67.9</v>
      </c>
      <c r="E18" s="4">
        <v>68.9</v>
      </c>
      <c r="F18" s="4">
        <v>68.42</v>
      </c>
      <c r="G18" s="5">
        <v>7.78145E7</v>
      </c>
      <c r="I18" s="3">
        <v>45957.0</v>
      </c>
      <c r="J18" s="4">
        <v>151.01</v>
      </c>
      <c r="K18" s="4">
        <v>153.21</v>
      </c>
      <c r="L18" s="4">
        <v>143.67</v>
      </c>
      <c r="M18" s="4">
        <v>146.09</v>
      </c>
      <c r="N18" s="4">
        <v>143.39</v>
      </c>
      <c r="O18" s="5">
        <v>3.0205E7</v>
      </c>
    </row>
    <row r="19">
      <c r="A19" s="3">
        <v>45950.0</v>
      </c>
      <c r="B19" s="4">
        <v>68.43</v>
      </c>
      <c r="C19" s="4">
        <v>71.62</v>
      </c>
      <c r="D19" s="4">
        <v>67.92</v>
      </c>
      <c r="E19" s="4">
        <v>69.71</v>
      </c>
      <c r="F19" s="4">
        <v>69.22</v>
      </c>
      <c r="G19" s="5">
        <v>9.94087E7</v>
      </c>
      <c r="I19" s="3">
        <v>45950.0</v>
      </c>
      <c r="J19" s="4">
        <v>154.42</v>
      </c>
      <c r="K19" s="4">
        <v>155.19</v>
      </c>
      <c r="L19" s="4">
        <v>151.03</v>
      </c>
      <c r="M19" s="4">
        <v>151.55</v>
      </c>
      <c r="N19" s="4">
        <v>148.75</v>
      </c>
      <c r="O19" s="5">
        <v>2.65829E7</v>
      </c>
    </row>
    <row r="20">
      <c r="A20" s="3">
        <v>45943.0</v>
      </c>
      <c r="B20" s="4">
        <v>66.23</v>
      </c>
      <c r="C20" s="4">
        <v>68.5</v>
      </c>
      <c r="D20" s="4">
        <v>66.0</v>
      </c>
      <c r="E20" s="4">
        <v>68.44</v>
      </c>
      <c r="F20" s="4">
        <v>67.96</v>
      </c>
      <c r="G20" s="5">
        <v>7.03783E7</v>
      </c>
      <c r="I20" s="3">
        <v>45943.0</v>
      </c>
      <c r="J20" s="4">
        <v>148.65</v>
      </c>
      <c r="K20" s="4">
        <v>154.38</v>
      </c>
      <c r="L20" s="4">
        <v>147.34</v>
      </c>
      <c r="M20" s="4">
        <v>153.71</v>
      </c>
      <c r="N20" s="4">
        <v>150.87</v>
      </c>
      <c r="O20" s="5">
        <v>3.69872E7</v>
      </c>
    </row>
    <row r="21">
      <c r="A21" s="3">
        <v>45936.0</v>
      </c>
      <c r="B21" s="4">
        <v>66.49</v>
      </c>
      <c r="C21" s="4">
        <v>67.4</v>
      </c>
      <c r="D21" s="4">
        <v>65.84</v>
      </c>
      <c r="E21" s="4">
        <v>67.04</v>
      </c>
      <c r="F21" s="4">
        <v>66.57</v>
      </c>
      <c r="G21" s="5">
        <v>7.09652E7</v>
      </c>
      <c r="I21" s="3">
        <v>45936.0</v>
      </c>
      <c r="J21" s="4">
        <v>141.77</v>
      </c>
      <c r="K21" s="4">
        <v>150.82</v>
      </c>
      <c r="L21" s="4">
        <v>138.59</v>
      </c>
      <c r="M21" s="4">
        <v>150.08</v>
      </c>
      <c r="N21" s="4">
        <v>147.31</v>
      </c>
      <c r="O21" s="5">
        <v>5.23695E7</v>
      </c>
    </row>
    <row r="22">
      <c r="A22" s="3">
        <v>45929.0</v>
      </c>
      <c r="B22" s="4">
        <v>65.67</v>
      </c>
      <c r="C22" s="4">
        <v>66.99</v>
      </c>
      <c r="D22" s="4">
        <v>65.35</v>
      </c>
      <c r="E22" s="4">
        <v>66.65</v>
      </c>
      <c r="F22" s="4">
        <v>66.19</v>
      </c>
      <c r="G22" s="5">
        <v>7.01109E7</v>
      </c>
      <c r="I22" s="3">
        <v>45929.0</v>
      </c>
      <c r="J22" s="4">
        <v>140.44</v>
      </c>
      <c r="K22" s="4">
        <v>143.37</v>
      </c>
      <c r="L22" s="4">
        <v>139.12</v>
      </c>
      <c r="M22" s="4">
        <v>141.98</v>
      </c>
      <c r="N22" s="4">
        <v>139.36</v>
      </c>
      <c r="O22" s="5">
        <v>3.53174E7</v>
      </c>
    </row>
    <row r="23">
      <c r="A23" s="3">
        <v>45922.0</v>
      </c>
      <c r="B23" s="4">
        <v>66.16</v>
      </c>
      <c r="C23" s="4">
        <v>66.92</v>
      </c>
      <c r="D23" s="4">
        <v>65.5</v>
      </c>
      <c r="E23" s="4">
        <v>65.67</v>
      </c>
      <c r="F23" s="4">
        <v>65.21</v>
      </c>
      <c r="G23" s="5">
        <v>7.53474E7</v>
      </c>
      <c r="I23" s="3">
        <v>45922.0</v>
      </c>
      <c r="J23" s="4">
        <v>141.08</v>
      </c>
      <c r="K23" s="4">
        <v>143.42</v>
      </c>
      <c r="L23" s="4">
        <v>139.85</v>
      </c>
      <c r="M23" s="4">
        <v>140.44</v>
      </c>
      <c r="N23" s="4">
        <v>137.85</v>
      </c>
      <c r="O23" s="5">
        <v>3.14296E7</v>
      </c>
    </row>
    <row r="24">
      <c r="A24" s="3">
        <v>45915.0</v>
      </c>
      <c r="B24" s="4" t="s">
        <v>8</v>
      </c>
      <c r="I24" s="3">
        <v>45915.0</v>
      </c>
      <c r="J24" s="4">
        <v>143.4</v>
      </c>
      <c r="K24" s="4">
        <v>143.53</v>
      </c>
      <c r="L24" s="4">
        <v>139.91</v>
      </c>
      <c r="M24" s="4">
        <v>141.76</v>
      </c>
      <c r="N24" s="4">
        <v>139.14</v>
      </c>
      <c r="O24" s="5">
        <v>4.11281E7</v>
      </c>
    </row>
    <row r="25">
      <c r="A25" s="3">
        <v>45915.0</v>
      </c>
      <c r="B25" s="4">
        <v>66.68</v>
      </c>
      <c r="C25" s="4">
        <v>67.13</v>
      </c>
      <c r="D25" s="4">
        <v>66.05</v>
      </c>
      <c r="E25" s="4">
        <v>66.43</v>
      </c>
      <c r="F25" s="4">
        <v>65.46</v>
      </c>
      <c r="G25" s="5">
        <v>1.008301E8</v>
      </c>
      <c r="I25" s="3">
        <v>45908.0</v>
      </c>
      <c r="J25" s="4">
        <v>145.72</v>
      </c>
      <c r="K25" s="4">
        <v>145.72</v>
      </c>
      <c r="L25" s="4">
        <v>140.35</v>
      </c>
      <c r="M25" s="4">
        <v>143.53</v>
      </c>
      <c r="N25" s="4">
        <v>140.88</v>
      </c>
      <c r="O25" s="5">
        <v>3.48672E7</v>
      </c>
    </row>
    <row r="26">
      <c r="A26" s="3">
        <v>45908.0</v>
      </c>
      <c r="B26" s="4">
        <v>67.86</v>
      </c>
      <c r="C26" s="4">
        <v>68.17</v>
      </c>
      <c r="D26" s="4">
        <v>66.94</v>
      </c>
      <c r="E26" s="4">
        <v>67.01</v>
      </c>
      <c r="F26" s="4">
        <v>66.04</v>
      </c>
      <c r="G26" s="5">
        <v>8.56753E7</v>
      </c>
      <c r="I26" s="3">
        <v>45905.0</v>
      </c>
      <c r="J26" s="4" t="s">
        <v>9</v>
      </c>
    </row>
    <row r="27">
      <c r="A27" s="3">
        <v>45901.0</v>
      </c>
      <c r="B27" s="4">
        <v>68.96</v>
      </c>
      <c r="C27" s="4">
        <v>69.46</v>
      </c>
      <c r="D27" s="4">
        <v>67.37</v>
      </c>
      <c r="E27" s="4">
        <v>67.96</v>
      </c>
      <c r="F27" s="4">
        <v>66.97</v>
      </c>
      <c r="G27" s="5">
        <v>9.90656E7</v>
      </c>
      <c r="I27" s="3">
        <v>45901.0</v>
      </c>
      <c r="J27" s="4">
        <v>157.44</v>
      </c>
      <c r="K27" s="4">
        <v>157.8</v>
      </c>
      <c r="L27" s="4">
        <v>145.28</v>
      </c>
      <c r="M27" s="4">
        <v>146.39</v>
      </c>
      <c r="N27" s="4">
        <v>142.3</v>
      </c>
      <c r="O27" s="5">
        <v>4.21363E7</v>
      </c>
    </row>
    <row r="28">
      <c r="A28" s="3">
        <v>45894.0</v>
      </c>
      <c r="B28" s="4">
        <v>70.11</v>
      </c>
      <c r="C28" s="4">
        <v>70.23</v>
      </c>
      <c r="D28" s="4">
        <v>68.28</v>
      </c>
      <c r="E28" s="4">
        <v>68.99</v>
      </c>
      <c r="F28" s="4">
        <v>67.99</v>
      </c>
      <c r="G28" s="5">
        <v>7.39725E7</v>
      </c>
      <c r="I28" s="3">
        <v>45894.0</v>
      </c>
      <c r="J28" s="4">
        <v>148.43</v>
      </c>
      <c r="K28" s="4">
        <v>149.22</v>
      </c>
      <c r="L28" s="4">
        <v>145.81</v>
      </c>
      <c r="M28" s="4">
        <v>148.65</v>
      </c>
      <c r="N28" s="4">
        <v>144.49</v>
      </c>
      <c r="O28" s="5">
        <v>4.29511E7</v>
      </c>
    </row>
    <row r="29">
      <c r="A29" s="3">
        <v>45887.0</v>
      </c>
      <c r="B29" s="4">
        <v>69.98</v>
      </c>
      <c r="C29" s="4">
        <v>71.71</v>
      </c>
      <c r="D29" s="4">
        <v>69.05</v>
      </c>
      <c r="E29" s="4">
        <v>70.13</v>
      </c>
      <c r="F29" s="4">
        <v>69.11</v>
      </c>
      <c r="G29" s="5">
        <v>6.73279E7</v>
      </c>
      <c r="I29" s="3">
        <v>45887.0</v>
      </c>
      <c r="J29" s="4">
        <v>150.55</v>
      </c>
      <c r="K29" s="4">
        <v>154.61</v>
      </c>
      <c r="L29" s="4">
        <v>148.6</v>
      </c>
      <c r="M29" s="4">
        <v>149.64</v>
      </c>
      <c r="N29" s="4">
        <v>145.46</v>
      </c>
      <c r="O29" s="5">
        <v>4.1893E7</v>
      </c>
    </row>
    <row r="30">
      <c r="A30" s="3">
        <v>45880.0</v>
      </c>
      <c r="B30" s="4">
        <v>70.3</v>
      </c>
      <c r="C30" s="4">
        <v>71.06</v>
      </c>
      <c r="D30" s="4">
        <v>69.39</v>
      </c>
      <c r="E30" s="4">
        <v>69.92</v>
      </c>
      <c r="F30" s="4">
        <v>68.9</v>
      </c>
      <c r="G30" s="5">
        <v>5.54305E7</v>
      </c>
      <c r="I30" s="3">
        <v>45880.0</v>
      </c>
      <c r="J30" s="4">
        <v>145.32</v>
      </c>
      <c r="K30" s="4">
        <v>151.1</v>
      </c>
      <c r="L30" s="4">
        <v>143.75</v>
      </c>
      <c r="M30" s="4">
        <v>150.4</v>
      </c>
      <c r="N30" s="4">
        <v>146.19</v>
      </c>
      <c r="O30" s="5">
        <v>3.56438E7</v>
      </c>
    </row>
    <row r="31">
      <c r="A31" s="3">
        <v>45873.0</v>
      </c>
      <c r="B31" s="4">
        <v>68.72</v>
      </c>
      <c r="C31" s="4">
        <v>70.87</v>
      </c>
      <c r="D31" s="4">
        <v>68.31</v>
      </c>
      <c r="E31" s="4">
        <v>70.34</v>
      </c>
      <c r="F31" s="4">
        <v>69.32</v>
      </c>
      <c r="G31" s="5">
        <v>5.85014E7</v>
      </c>
      <c r="I31" s="3">
        <v>45873.0</v>
      </c>
      <c r="J31" s="4">
        <v>139.29</v>
      </c>
      <c r="K31" s="4">
        <v>145.37</v>
      </c>
      <c r="L31" s="4">
        <v>138.75</v>
      </c>
      <c r="M31" s="4">
        <v>145.21</v>
      </c>
      <c r="N31" s="4">
        <v>141.15</v>
      </c>
      <c r="O31" s="5">
        <v>3.36569E7</v>
      </c>
    </row>
    <row r="32">
      <c r="A32" s="3">
        <v>45866.0</v>
      </c>
      <c r="B32" s="4">
        <v>68.74</v>
      </c>
      <c r="C32" s="4">
        <v>69.42</v>
      </c>
      <c r="D32" s="4">
        <v>67.74</v>
      </c>
      <c r="E32" s="4">
        <v>68.86</v>
      </c>
      <c r="F32" s="4">
        <v>67.86</v>
      </c>
      <c r="G32" s="5">
        <v>7.36413E7</v>
      </c>
      <c r="I32" s="3">
        <v>45866.0</v>
      </c>
      <c r="J32" s="4">
        <v>142.7</v>
      </c>
      <c r="K32" s="4">
        <v>144.4</v>
      </c>
      <c r="L32" s="4">
        <v>137.64</v>
      </c>
      <c r="M32" s="4">
        <v>139.28</v>
      </c>
      <c r="N32" s="4">
        <v>135.39</v>
      </c>
      <c r="O32" s="5">
        <v>4.59806E7</v>
      </c>
    </row>
    <row r="33">
      <c r="A33" s="3">
        <v>45859.0</v>
      </c>
      <c r="B33" s="4">
        <v>70.19</v>
      </c>
      <c r="C33" s="4">
        <v>70.62</v>
      </c>
      <c r="D33" s="4">
        <v>68.6</v>
      </c>
      <c r="E33" s="4">
        <v>69.17</v>
      </c>
      <c r="F33" s="4">
        <v>68.16</v>
      </c>
      <c r="G33" s="5">
        <v>8.62678E7</v>
      </c>
      <c r="I33" s="3">
        <v>45859.0</v>
      </c>
      <c r="J33" s="4">
        <v>143.1</v>
      </c>
      <c r="K33" s="4">
        <v>147.03</v>
      </c>
      <c r="L33" s="4">
        <v>140.46</v>
      </c>
      <c r="M33" s="4">
        <v>143.45</v>
      </c>
      <c r="N33" s="4">
        <v>139.44</v>
      </c>
      <c r="O33" s="5">
        <v>4.02441E7</v>
      </c>
    </row>
    <row r="34">
      <c r="A34" s="3">
        <v>45852.0</v>
      </c>
      <c r="B34" s="4">
        <v>69.8</v>
      </c>
      <c r="C34" s="4">
        <v>70.7</v>
      </c>
      <c r="D34" s="4">
        <v>68.79</v>
      </c>
      <c r="E34" s="4">
        <v>69.85</v>
      </c>
      <c r="F34" s="4">
        <v>68.83</v>
      </c>
      <c r="G34" s="5">
        <v>7.5194E7</v>
      </c>
      <c r="I34" s="3">
        <v>45852.0</v>
      </c>
      <c r="J34" s="4">
        <v>134.75</v>
      </c>
      <c r="K34" s="4">
        <v>146.35</v>
      </c>
      <c r="L34" s="4">
        <v>133.75</v>
      </c>
      <c r="M34" s="4">
        <v>143.24</v>
      </c>
      <c r="N34" s="4">
        <v>139.23</v>
      </c>
      <c r="O34" s="5">
        <v>6.82692E7</v>
      </c>
    </row>
    <row r="35">
      <c r="A35" s="3">
        <v>45845.0</v>
      </c>
      <c r="B35" s="4">
        <v>71.37</v>
      </c>
      <c r="C35" s="4">
        <v>71.37</v>
      </c>
      <c r="D35" s="4">
        <v>68.97</v>
      </c>
      <c r="E35" s="4">
        <v>69.87</v>
      </c>
      <c r="F35" s="4">
        <v>68.85</v>
      </c>
      <c r="G35" s="5">
        <v>9.53294E7</v>
      </c>
      <c r="I35" s="3">
        <v>45845.0</v>
      </c>
      <c r="J35" s="4">
        <v>135.53</v>
      </c>
      <c r="K35" s="4">
        <v>136.68</v>
      </c>
      <c r="L35" s="4">
        <v>132.96</v>
      </c>
      <c r="M35" s="4">
        <v>135.26</v>
      </c>
      <c r="N35" s="4">
        <v>131.48</v>
      </c>
      <c r="O35" s="5">
        <v>4.00879E7</v>
      </c>
    </row>
    <row r="36">
      <c r="A36" s="3">
        <v>45838.0</v>
      </c>
      <c r="B36" s="4">
        <v>70.13</v>
      </c>
      <c r="C36" s="4">
        <v>72.45</v>
      </c>
      <c r="D36" s="4">
        <v>70.09</v>
      </c>
      <c r="E36" s="4">
        <v>71.35</v>
      </c>
      <c r="F36" s="4">
        <v>70.31</v>
      </c>
      <c r="G36" s="5">
        <v>5.9649E7</v>
      </c>
      <c r="I36" s="3">
        <v>45838.0</v>
      </c>
      <c r="J36" s="4">
        <v>131.2</v>
      </c>
      <c r="K36" s="4">
        <v>137.0</v>
      </c>
      <c r="L36" s="4">
        <v>130.59</v>
      </c>
      <c r="M36" s="4">
        <v>135.38</v>
      </c>
      <c r="N36" s="4">
        <v>131.59</v>
      </c>
      <c r="O36" s="5">
        <v>3.85792E7</v>
      </c>
    </row>
    <row r="37">
      <c r="A37" s="3">
        <v>45831.0</v>
      </c>
      <c r="B37" s="4">
        <v>69.14</v>
      </c>
      <c r="C37" s="4">
        <v>70.56</v>
      </c>
      <c r="D37" s="4">
        <v>68.97</v>
      </c>
      <c r="E37" s="4">
        <v>70.33</v>
      </c>
      <c r="F37" s="4">
        <v>69.31</v>
      </c>
      <c r="G37" s="5">
        <v>8.75041E7</v>
      </c>
      <c r="I37" s="3">
        <v>45831.0</v>
      </c>
      <c r="J37" s="4">
        <v>129.29</v>
      </c>
      <c r="K37" s="4">
        <v>131.34</v>
      </c>
      <c r="L37" s="4">
        <v>127.6</v>
      </c>
      <c r="M37" s="4">
        <v>131.04</v>
      </c>
      <c r="N37" s="4">
        <v>127.38</v>
      </c>
      <c r="O37" s="5">
        <v>7.10644E7</v>
      </c>
    </row>
    <row r="38">
      <c r="A38" s="3">
        <v>45824.0</v>
      </c>
      <c r="B38" s="4">
        <v>71.2</v>
      </c>
      <c r="C38" s="4">
        <v>71.62</v>
      </c>
      <c r="D38" s="4">
        <v>68.78</v>
      </c>
      <c r="E38" s="4">
        <v>68.84</v>
      </c>
      <c r="F38" s="4">
        <v>67.84</v>
      </c>
      <c r="G38" s="5">
        <v>8.75699E7</v>
      </c>
      <c r="I38" s="3">
        <v>45824.0</v>
      </c>
      <c r="J38" s="4">
        <v>131.31</v>
      </c>
      <c r="K38" s="4">
        <v>132.09</v>
      </c>
      <c r="L38" s="4">
        <v>128.59</v>
      </c>
      <c r="M38" s="4">
        <v>129.07</v>
      </c>
      <c r="N38" s="4">
        <v>125.46</v>
      </c>
      <c r="O38" s="5">
        <v>5.32057E7</v>
      </c>
    </row>
    <row r="39">
      <c r="A39" s="3">
        <v>45821.0</v>
      </c>
      <c r="B39" s="4" t="s">
        <v>8</v>
      </c>
      <c r="I39" s="3">
        <v>45817.0</v>
      </c>
      <c r="J39" s="4">
        <v>129.83</v>
      </c>
      <c r="K39" s="4">
        <v>133.06</v>
      </c>
      <c r="L39" s="4">
        <v>129.18</v>
      </c>
      <c r="M39" s="4">
        <v>130.85</v>
      </c>
      <c r="N39" s="4">
        <v>127.19</v>
      </c>
      <c r="O39" s="5">
        <v>5.05003E7</v>
      </c>
    </row>
    <row r="40">
      <c r="A40" s="3">
        <v>45817.0</v>
      </c>
      <c r="B40" s="4">
        <v>71.35</v>
      </c>
      <c r="C40" s="4">
        <v>72.69</v>
      </c>
      <c r="D40" s="4">
        <v>70.73</v>
      </c>
      <c r="E40" s="4">
        <v>71.02</v>
      </c>
      <c r="F40" s="4">
        <v>69.49</v>
      </c>
      <c r="G40" s="5">
        <v>6.75389E7</v>
      </c>
      <c r="I40" s="3">
        <v>45814.0</v>
      </c>
      <c r="J40" s="4" t="s">
        <v>9</v>
      </c>
    </row>
    <row r="41">
      <c r="A41" s="3">
        <v>45810.0</v>
      </c>
      <c r="B41" s="4">
        <v>72.03</v>
      </c>
      <c r="C41" s="4">
        <v>72.04</v>
      </c>
      <c r="D41" s="4">
        <v>70.47</v>
      </c>
      <c r="E41" s="4">
        <v>71.35</v>
      </c>
      <c r="F41" s="4">
        <v>69.82</v>
      </c>
      <c r="G41" s="5">
        <v>6.69638E7</v>
      </c>
      <c r="I41" s="3">
        <v>45810.0</v>
      </c>
      <c r="J41" s="4">
        <v>130.9</v>
      </c>
      <c r="K41" s="4">
        <v>132.74</v>
      </c>
      <c r="L41" s="4">
        <v>129.07</v>
      </c>
      <c r="M41" s="4">
        <v>130.03</v>
      </c>
      <c r="N41" s="4">
        <v>125.02</v>
      </c>
      <c r="O41" s="5">
        <v>3.77719E7</v>
      </c>
    </row>
    <row r="42">
      <c r="A42" s="6">
        <v>45803.0</v>
      </c>
      <c r="B42" s="4">
        <v>71.74</v>
      </c>
      <c r="C42" s="4">
        <v>72.47</v>
      </c>
      <c r="D42" s="4">
        <v>70.46</v>
      </c>
      <c r="E42" s="4">
        <v>72.1</v>
      </c>
      <c r="F42" s="4">
        <v>70.55</v>
      </c>
      <c r="G42" s="5">
        <v>5.76876E7</v>
      </c>
      <c r="I42" s="6">
        <v>45803.0</v>
      </c>
      <c r="J42" s="4">
        <v>130.08</v>
      </c>
      <c r="K42" s="4">
        <v>132.72</v>
      </c>
      <c r="L42" s="4">
        <v>129.13</v>
      </c>
      <c r="M42" s="4">
        <v>131.45</v>
      </c>
      <c r="N42" s="4">
        <v>126.39</v>
      </c>
      <c r="O42" s="5">
        <v>4.30553E7</v>
      </c>
    </row>
    <row r="43">
      <c r="A43" s="6">
        <v>45796.0</v>
      </c>
      <c r="B43" s="4">
        <v>72.03</v>
      </c>
      <c r="C43" s="4">
        <v>72.17</v>
      </c>
      <c r="D43" s="4">
        <v>70.69</v>
      </c>
      <c r="E43" s="4">
        <v>71.77</v>
      </c>
      <c r="F43" s="4">
        <v>70.23</v>
      </c>
      <c r="G43" s="5">
        <v>6.14389E7</v>
      </c>
      <c r="I43" s="6">
        <v>45796.0</v>
      </c>
      <c r="J43" s="4">
        <v>132.13</v>
      </c>
      <c r="K43" s="4">
        <v>132.26</v>
      </c>
      <c r="L43" s="4">
        <v>127.75</v>
      </c>
      <c r="M43" s="4">
        <v>129.34</v>
      </c>
      <c r="N43" s="4">
        <v>124.36</v>
      </c>
      <c r="O43" s="5">
        <v>4.15368E7</v>
      </c>
    </row>
    <row r="44">
      <c r="A44" s="6">
        <v>45789.0</v>
      </c>
      <c r="B44" s="4">
        <v>70.15</v>
      </c>
      <c r="C44" s="4">
        <v>72.26</v>
      </c>
      <c r="D44" s="4">
        <v>68.58</v>
      </c>
      <c r="E44" s="4">
        <v>72.0</v>
      </c>
      <c r="F44" s="4">
        <v>70.45</v>
      </c>
      <c r="G44" s="5">
        <v>9.04732E7</v>
      </c>
      <c r="I44" s="6">
        <v>45789.0</v>
      </c>
      <c r="J44" s="4">
        <v>130.84</v>
      </c>
      <c r="K44" s="4">
        <v>132.33</v>
      </c>
      <c r="L44" s="4">
        <v>127.87</v>
      </c>
      <c r="M44" s="4">
        <v>131.98</v>
      </c>
      <c r="N44" s="4">
        <v>126.9</v>
      </c>
      <c r="O44" s="5">
        <v>4.55674E7</v>
      </c>
    </row>
    <row r="45">
      <c r="A45" s="6">
        <v>45782.0</v>
      </c>
      <c r="B45" s="4">
        <v>71.67</v>
      </c>
      <c r="C45" s="4">
        <v>72.69</v>
      </c>
      <c r="D45" s="4">
        <v>70.46</v>
      </c>
      <c r="E45" s="4">
        <v>70.52</v>
      </c>
      <c r="F45" s="4">
        <v>69.0</v>
      </c>
      <c r="G45" s="5">
        <v>6.52564E7</v>
      </c>
      <c r="I45" s="6">
        <v>45782.0</v>
      </c>
      <c r="J45" s="4">
        <v>134.04</v>
      </c>
      <c r="K45" s="4">
        <v>134.04</v>
      </c>
      <c r="L45" s="4">
        <v>130.16</v>
      </c>
      <c r="M45" s="4">
        <v>130.44</v>
      </c>
      <c r="N45" s="4">
        <v>125.42</v>
      </c>
      <c r="O45" s="5">
        <v>3.33382E7</v>
      </c>
    </row>
    <row r="46">
      <c r="A46" s="3">
        <v>45775.0</v>
      </c>
      <c r="B46" s="4">
        <v>72.08</v>
      </c>
      <c r="C46" s="4">
        <v>73.48</v>
      </c>
      <c r="D46" s="4">
        <v>70.28</v>
      </c>
      <c r="E46" s="4">
        <v>71.65</v>
      </c>
      <c r="F46" s="4">
        <v>70.11</v>
      </c>
      <c r="G46" s="5">
        <v>8.39801E7</v>
      </c>
      <c r="I46" s="3">
        <v>45775.0</v>
      </c>
      <c r="J46" s="4">
        <v>133.9</v>
      </c>
      <c r="K46" s="4">
        <v>136.18</v>
      </c>
      <c r="L46" s="4">
        <v>131.52</v>
      </c>
      <c r="M46" s="4">
        <v>133.75</v>
      </c>
      <c r="N46" s="4">
        <v>128.6</v>
      </c>
      <c r="O46" s="5">
        <v>3.74095E7</v>
      </c>
    </row>
    <row r="47">
      <c r="A47" s="3">
        <v>45768.0</v>
      </c>
      <c r="B47" s="4">
        <v>73.38</v>
      </c>
      <c r="C47" s="4">
        <v>74.38</v>
      </c>
      <c r="D47" s="4">
        <v>71.13</v>
      </c>
      <c r="E47" s="4">
        <v>71.91</v>
      </c>
      <c r="F47" s="4">
        <v>70.36</v>
      </c>
      <c r="G47" s="5">
        <v>8.12145E7</v>
      </c>
      <c r="I47" s="3">
        <v>45768.0</v>
      </c>
      <c r="J47" s="4">
        <v>142.5</v>
      </c>
      <c r="K47" s="4">
        <v>144.28</v>
      </c>
      <c r="L47" s="4">
        <v>131.8</v>
      </c>
      <c r="M47" s="4">
        <v>133.38</v>
      </c>
      <c r="N47" s="4">
        <v>128.24</v>
      </c>
      <c r="O47" s="5">
        <v>4.94395E7</v>
      </c>
    </row>
    <row r="48">
      <c r="A48" s="3">
        <v>45761.0</v>
      </c>
      <c r="B48" s="4">
        <v>71.3</v>
      </c>
      <c r="C48" s="4">
        <v>73.43</v>
      </c>
      <c r="D48" s="4">
        <v>70.93</v>
      </c>
      <c r="E48" s="4">
        <v>73.0</v>
      </c>
      <c r="F48" s="4">
        <v>71.43</v>
      </c>
      <c r="G48" s="5">
        <v>6.49264E7</v>
      </c>
      <c r="I48" s="3">
        <v>45761.0</v>
      </c>
      <c r="J48" s="4">
        <v>144.16</v>
      </c>
      <c r="K48" s="4">
        <v>147.18</v>
      </c>
      <c r="L48" s="4">
        <v>139.77</v>
      </c>
      <c r="M48" s="4">
        <v>142.84</v>
      </c>
      <c r="N48" s="4">
        <v>137.34</v>
      </c>
      <c r="O48" s="5">
        <v>2.48634E7</v>
      </c>
    </row>
    <row r="49">
      <c r="A49" s="3">
        <v>45754.0</v>
      </c>
      <c r="B49" s="4">
        <v>66.23</v>
      </c>
      <c r="C49" s="4">
        <v>71.85</v>
      </c>
      <c r="D49" s="4">
        <v>66.05</v>
      </c>
      <c r="E49" s="4">
        <v>71.43</v>
      </c>
      <c r="F49" s="4">
        <v>69.89</v>
      </c>
      <c r="G49" s="5">
        <v>1.273899E8</v>
      </c>
      <c r="I49" s="3">
        <v>45754.0</v>
      </c>
      <c r="J49" s="4">
        <v>141.32</v>
      </c>
      <c r="K49" s="4">
        <v>147.14</v>
      </c>
      <c r="L49" s="4">
        <v>138.33</v>
      </c>
      <c r="M49" s="4">
        <v>144.43</v>
      </c>
      <c r="N49" s="4">
        <v>138.87</v>
      </c>
      <c r="O49" s="5">
        <v>5.75227E7</v>
      </c>
    </row>
    <row r="50">
      <c r="A50" s="3">
        <v>45747.0</v>
      </c>
      <c r="B50" s="4">
        <v>70.73</v>
      </c>
      <c r="C50" s="4">
        <v>73.95</v>
      </c>
      <c r="D50" s="4">
        <v>69.79</v>
      </c>
      <c r="E50" s="4">
        <v>69.93</v>
      </c>
      <c r="F50" s="4">
        <v>68.43</v>
      </c>
      <c r="G50" s="5">
        <v>1.054094E8</v>
      </c>
      <c r="I50" s="3">
        <v>45747.0</v>
      </c>
      <c r="J50" s="4">
        <v>150.2</v>
      </c>
      <c r="K50" s="4">
        <v>154.92</v>
      </c>
      <c r="L50" s="4">
        <v>146.44</v>
      </c>
      <c r="M50" s="4">
        <v>146.61</v>
      </c>
      <c r="N50" s="4">
        <v>140.96</v>
      </c>
      <c r="O50" s="5">
        <v>4.30523E7</v>
      </c>
    </row>
    <row r="51">
      <c r="A51" s="3">
        <v>45740.0</v>
      </c>
      <c r="B51" s="4">
        <v>68.8</v>
      </c>
      <c r="C51" s="4">
        <v>71.32</v>
      </c>
      <c r="D51" s="4">
        <v>68.33</v>
      </c>
      <c r="E51" s="4">
        <v>70.37</v>
      </c>
      <c r="F51" s="4">
        <v>68.86</v>
      </c>
      <c r="G51" s="5">
        <v>6.86438E7</v>
      </c>
      <c r="I51" s="3">
        <v>45740.0</v>
      </c>
      <c r="J51" s="4">
        <v>145.49</v>
      </c>
      <c r="K51" s="4">
        <v>151.38</v>
      </c>
      <c r="L51" s="4">
        <v>144.83</v>
      </c>
      <c r="M51" s="4">
        <v>149.27</v>
      </c>
      <c r="N51" s="4">
        <v>143.52</v>
      </c>
      <c r="O51" s="5">
        <v>3.05628E7</v>
      </c>
    </row>
    <row r="52">
      <c r="A52" s="3">
        <v>45733.0</v>
      </c>
      <c r="B52" s="4">
        <v>69.24</v>
      </c>
      <c r="C52" s="4">
        <v>70.19</v>
      </c>
      <c r="D52" s="4">
        <v>68.18</v>
      </c>
      <c r="E52" s="4">
        <v>68.67</v>
      </c>
      <c r="F52" s="4">
        <v>67.19</v>
      </c>
      <c r="G52" s="5">
        <v>1.068472E8</v>
      </c>
      <c r="I52" s="3">
        <v>45733.0</v>
      </c>
      <c r="J52" s="4">
        <v>149.23</v>
      </c>
      <c r="K52" s="4">
        <v>151.67</v>
      </c>
      <c r="L52" s="4">
        <v>144.75</v>
      </c>
      <c r="M52" s="4">
        <v>145.45</v>
      </c>
      <c r="N52" s="4">
        <v>139.85</v>
      </c>
      <c r="O52" s="5">
        <v>3.57994E7</v>
      </c>
    </row>
    <row r="53">
      <c r="A53" s="3">
        <v>45730.0</v>
      </c>
      <c r="B53" s="4" t="s">
        <v>8</v>
      </c>
      <c r="I53" s="3">
        <v>45726.0</v>
      </c>
      <c r="J53" s="4">
        <v>155.88</v>
      </c>
      <c r="K53" s="4">
        <v>160.08</v>
      </c>
      <c r="L53" s="4">
        <v>146.51</v>
      </c>
      <c r="M53" s="4">
        <v>148.59</v>
      </c>
      <c r="N53" s="4">
        <v>142.87</v>
      </c>
      <c r="O53" s="5">
        <v>3.80973E7</v>
      </c>
    </row>
    <row r="54">
      <c r="A54" s="3">
        <v>45726.0</v>
      </c>
      <c r="B54" s="4">
        <v>71.96</v>
      </c>
      <c r="C54" s="4">
        <v>73.22</v>
      </c>
      <c r="D54" s="4">
        <v>68.38</v>
      </c>
      <c r="E54" s="4">
        <v>69.16</v>
      </c>
      <c r="F54" s="4">
        <v>67.18</v>
      </c>
      <c r="G54" s="5">
        <v>1.022026E8</v>
      </c>
      <c r="I54" s="3">
        <v>45723.0</v>
      </c>
      <c r="J54" s="4" t="s">
        <v>10</v>
      </c>
    </row>
    <row r="55">
      <c r="A55" s="3">
        <v>45719.0</v>
      </c>
      <c r="B55" s="4">
        <v>70.24</v>
      </c>
      <c r="C55" s="4">
        <v>72.65</v>
      </c>
      <c r="D55" s="4">
        <v>69.45</v>
      </c>
      <c r="E55" s="4">
        <v>71.43</v>
      </c>
      <c r="F55" s="4">
        <v>69.38</v>
      </c>
      <c r="G55" s="5">
        <v>1.211504E8</v>
      </c>
      <c r="I55" s="3">
        <v>45719.0</v>
      </c>
      <c r="J55" s="4">
        <v>151.35</v>
      </c>
      <c r="K55" s="4">
        <v>160.15</v>
      </c>
      <c r="L55" s="4">
        <v>150.5</v>
      </c>
      <c r="M55" s="4">
        <v>154.44</v>
      </c>
      <c r="N55" s="4">
        <v>147.19</v>
      </c>
      <c r="O55" s="5">
        <v>4.15933E7</v>
      </c>
    </row>
    <row r="56">
      <c r="A56" s="3">
        <v>45712.0</v>
      </c>
      <c r="B56" s="4">
        <v>70.84</v>
      </c>
      <c r="C56" s="4">
        <v>71.77</v>
      </c>
      <c r="D56" s="4">
        <v>70.33</v>
      </c>
      <c r="E56" s="4">
        <v>71.21</v>
      </c>
      <c r="F56" s="4">
        <v>69.17</v>
      </c>
      <c r="G56" s="5">
        <v>9.64621E7</v>
      </c>
      <c r="I56" s="3">
        <v>45712.0</v>
      </c>
      <c r="J56" s="4">
        <v>152.34</v>
      </c>
      <c r="K56" s="4">
        <v>158.46</v>
      </c>
      <c r="L56" s="4">
        <v>149.93</v>
      </c>
      <c r="M56" s="4">
        <v>153.47</v>
      </c>
      <c r="N56" s="4">
        <v>146.27</v>
      </c>
      <c r="O56" s="5">
        <v>4.09246E7</v>
      </c>
    </row>
    <row r="57">
      <c r="A57" s="3">
        <v>45705.0</v>
      </c>
      <c r="B57" s="4">
        <v>68.55</v>
      </c>
      <c r="C57" s="4">
        <v>71.6</v>
      </c>
      <c r="D57" s="4">
        <v>68.42</v>
      </c>
      <c r="E57" s="4">
        <v>71.35</v>
      </c>
      <c r="F57" s="4">
        <v>69.31</v>
      </c>
      <c r="G57" s="5">
        <v>6.66617E7</v>
      </c>
      <c r="I57" s="3">
        <v>45705.0</v>
      </c>
      <c r="J57" s="4">
        <v>142.9</v>
      </c>
      <c r="K57" s="4">
        <v>154.55</v>
      </c>
      <c r="L57" s="4">
        <v>141.6</v>
      </c>
      <c r="M57" s="4">
        <v>153.5</v>
      </c>
      <c r="N57" s="4">
        <v>146.29</v>
      </c>
      <c r="O57" s="5">
        <v>3.19102E7</v>
      </c>
    </row>
    <row r="58">
      <c r="A58" s="3">
        <v>45698.0</v>
      </c>
      <c r="B58" s="4">
        <v>64.1</v>
      </c>
      <c r="C58" s="4">
        <v>70.03</v>
      </c>
      <c r="D58" s="4">
        <v>63.66</v>
      </c>
      <c r="E58" s="4">
        <v>68.87</v>
      </c>
      <c r="F58" s="4">
        <v>66.9</v>
      </c>
      <c r="G58" s="5">
        <v>1.179494E8</v>
      </c>
      <c r="I58" s="3">
        <v>45698.0</v>
      </c>
      <c r="J58" s="4">
        <v>144.35</v>
      </c>
      <c r="K58" s="4">
        <v>146.17</v>
      </c>
      <c r="L58" s="4">
        <v>143.01</v>
      </c>
      <c r="M58" s="4">
        <v>143.39</v>
      </c>
      <c r="N58" s="4">
        <v>136.66</v>
      </c>
      <c r="O58" s="5">
        <v>3.39047E7</v>
      </c>
    </row>
    <row r="59">
      <c r="A59" s="3">
        <v>45691.0</v>
      </c>
      <c r="B59" s="4">
        <v>63.18</v>
      </c>
      <c r="C59" s="4">
        <v>63.92</v>
      </c>
      <c r="D59" s="4">
        <v>62.35</v>
      </c>
      <c r="E59" s="4">
        <v>63.84</v>
      </c>
      <c r="F59" s="4">
        <v>62.01</v>
      </c>
      <c r="G59" s="5">
        <v>6.50408E7</v>
      </c>
      <c r="I59" s="3">
        <v>45691.0</v>
      </c>
      <c r="J59" s="4">
        <v>149.76</v>
      </c>
      <c r="K59" s="4">
        <v>151.13</v>
      </c>
      <c r="L59" s="4">
        <v>142.7</v>
      </c>
      <c r="M59" s="4">
        <v>144.58</v>
      </c>
      <c r="N59" s="4">
        <v>137.79</v>
      </c>
      <c r="O59" s="5">
        <v>4.07264E7</v>
      </c>
    </row>
  </sheetData>
  <mergeCells count="8">
    <mergeCell ref="B12:G12"/>
    <mergeCell ref="J12:O12"/>
    <mergeCell ref="B24:G24"/>
    <mergeCell ref="J26:O26"/>
    <mergeCell ref="B39:G39"/>
    <mergeCell ref="J40:O40"/>
    <mergeCell ref="B53:G53"/>
    <mergeCell ref="J54:O5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10" max="10" width="25.88"/>
  </cols>
  <sheetData>
    <row r="1" ht="89.25" customHeight="1">
      <c r="A1" s="7" t="s">
        <v>1</v>
      </c>
      <c r="B1" s="8" t="s">
        <v>11</v>
      </c>
      <c r="C1" s="8" t="s">
        <v>12</v>
      </c>
      <c r="D1" s="9" t="s">
        <v>13</v>
      </c>
      <c r="E1" s="1" t="s">
        <v>14</v>
      </c>
      <c r="F1" s="1" t="s">
        <v>15</v>
      </c>
      <c r="G1" s="10" t="s">
        <v>16</v>
      </c>
      <c r="H1" s="10" t="s">
        <v>17</v>
      </c>
    </row>
    <row r="2">
      <c r="A2" s="11">
        <v>46056.0</v>
      </c>
      <c r="B2" s="4">
        <v>75.33</v>
      </c>
      <c r="C2" s="4">
        <v>153.83</v>
      </c>
      <c r="D2" s="12"/>
      <c r="G2" s="13"/>
      <c r="H2" s="13"/>
      <c r="J2" s="14"/>
      <c r="K2" s="15" t="s">
        <v>18</v>
      </c>
      <c r="L2" s="15" t="s">
        <v>19</v>
      </c>
    </row>
    <row r="3">
      <c r="A3" s="11">
        <v>46055.0</v>
      </c>
      <c r="B3" s="4">
        <v>74.81</v>
      </c>
      <c r="C3" s="4">
        <v>152.27</v>
      </c>
      <c r="D3" s="12"/>
      <c r="E3" s="16">
        <f t="shared" ref="E3:F3" si="1">(B3-B4)/B4</f>
        <v>0.02648188804</v>
      </c>
      <c r="F3" s="16">
        <f t="shared" si="1"/>
        <v>0.06259595255</v>
      </c>
      <c r="G3" s="17">
        <f t="shared" ref="G3:H3" si="2">B3/B4-1</f>
        <v>0.02648188804</v>
      </c>
      <c r="H3" s="17">
        <f t="shared" si="2"/>
        <v>0.06259595255</v>
      </c>
      <c r="J3" s="18" t="s">
        <v>20</v>
      </c>
      <c r="K3" s="19">
        <f t="shared" ref="K3:L3" si="3">MAX(G:G)</f>
        <v>0.07885824867</v>
      </c>
      <c r="L3" s="19">
        <f t="shared" si="3"/>
        <v>0.07046685204</v>
      </c>
    </row>
    <row r="4">
      <c r="A4" s="11">
        <v>46048.0</v>
      </c>
      <c r="B4" s="4">
        <v>72.88</v>
      </c>
      <c r="C4" s="4">
        <v>143.3</v>
      </c>
      <c r="D4" s="12"/>
      <c r="E4" s="16">
        <f t="shared" ref="E4:F4" si="4">(B4-B5)/B5</f>
        <v>0.03463940943</v>
      </c>
      <c r="F4" s="16">
        <f t="shared" si="4"/>
        <v>-0.01186043304</v>
      </c>
      <c r="G4" s="17">
        <f t="shared" ref="G4:H4" si="5">B4/B5-1</f>
        <v>0.03463940943</v>
      </c>
      <c r="H4" s="17">
        <f t="shared" si="5"/>
        <v>-0.01186043304</v>
      </c>
      <c r="J4" s="18" t="s">
        <v>21</v>
      </c>
      <c r="K4" s="19">
        <f t="shared" ref="K4:L4" si="6">MIN(G:G)</f>
        <v>-0.04269384382</v>
      </c>
      <c r="L4" s="19">
        <f t="shared" si="6"/>
        <v>-0.06625891947</v>
      </c>
    </row>
    <row r="5">
      <c r="A5" s="11">
        <v>46041.0</v>
      </c>
      <c r="B5" s="4">
        <v>70.44</v>
      </c>
      <c r="C5" s="4">
        <v>145.02</v>
      </c>
      <c r="D5" s="12"/>
      <c r="E5" s="16">
        <f t="shared" ref="E5:F5" si="7">(B5-B6)/B6</f>
        <v>-0.0009927669834</v>
      </c>
      <c r="F5" s="16">
        <f t="shared" si="7"/>
        <v>0.04579216846</v>
      </c>
      <c r="G5" s="17">
        <f t="shared" ref="G5:H5" si="8">B5/B6-1</f>
        <v>-0.0009927669834</v>
      </c>
      <c r="H5" s="17">
        <f t="shared" si="8"/>
        <v>0.04579216846</v>
      </c>
      <c r="J5" s="18" t="s">
        <v>22</v>
      </c>
      <c r="K5" s="19">
        <f t="shared" ref="K5:L5" si="9">K3-K4</f>
        <v>0.1215520925</v>
      </c>
      <c r="L5" s="19">
        <f t="shared" si="9"/>
        <v>0.1367257715</v>
      </c>
    </row>
    <row r="6">
      <c r="A6" s="11">
        <v>46034.0</v>
      </c>
      <c r="B6" s="4">
        <v>70.51</v>
      </c>
      <c r="C6" s="4">
        <v>138.67</v>
      </c>
      <c r="D6" s="12"/>
      <c r="E6" s="16">
        <f t="shared" ref="E6:F6" si="10">(B6-B7)/B7</f>
        <v>0.0201099537</v>
      </c>
      <c r="F6" s="16">
        <f t="shared" si="10"/>
        <v>-0.01631552813</v>
      </c>
      <c r="G6" s="17">
        <f t="shared" ref="G6:H6" si="11">B6/B7-1</f>
        <v>0.0201099537</v>
      </c>
      <c r="H6" s="17">
        <f t="shared" si="11"/>
        <v>-0.01631552813</v>
      </c>
      <c r="J6" s="18"/>
      <c r="K6" s="20"/>
      <c r="L6" s="20"/>
      <c r="M6" s="21"/>
    </row>
    <row r="7">
      <c r="A7" s="11">
        <v>46027.0</v>
      </c>
      <c r="B7" s="4">
        <v>69.12</v>
      </c>
      <c r="C7" s="4">
        <v>140.97</v>
      </c>
      <c r="D7" s="12"/>
      <c r="E7" s="16">
        <f t="shared" ref="E7:F7" si="12">(B7-B8)/B8</f>
        <v>-0.0107342207</v>
      </c>
      <c r="F7" s="16">
        <f t="shared" si="12"/>
        <v>-0.01080625921</v>
      </c>
      <c r="G7" s="17">
        <f t="shared" ref="G7:H7" si="13">B7/B8-1</f>
        <v>-0.0107342207</v>
      </c>
      <c r="H7" s="17">
        <f t="shared" si="13"/>
        <v>-0.01080625921</v>
      </c>
      <c r="J7" s="18" t="s">
        <v>23</v>
      </c>
      <c r="K7" s="19">
        <f t="shared" ref="K7:L7" si="14">_xlfn.PERCENTILE.INC(G:G,0.75)</f>
        <v>0.02049511505</v>
      </c>
      <c r="L7" s="19">
        <f t="shared" si="14"/>
        <v>0.01689416528</v>
      </c>
      <c r="M7" s="21"/>
    </row>
    <row r="8">
      <c r="A8" s="11">
        <v>46020.0</v>
      </c>
      <c r="B8" s="4">
        <v>69.87</v>
      </c>
      <c r="C8" s="4">
        <v>142.51</v>
      </c>
      <c r="D8" s="12"/>
      <c r="E8" s="16">
        <f t="shared" ref="E8:F8" si="15">(B8-B9)/B9</f>
        <v>-0.002711961176</v>
      </c>
      <c r="F8" s="16">
        <f t="shared" si="15"/>
        <v>-0.02955396663</v>
      </c>
      <c r="G8" s="17">
        <f t="shared" ref="G8:H8" si="16">B8/B9-1</f>
        <v>-0.002711961176</v>
      </c>
      <c r="H8" s="17">
        <f t="shared" si="16"/>
        <v>-0.02955396663</v>
      </c>
      <c r="J8" s="18" t="s">
        <v>24</v>
      </c>
      <c r="K8" s="19">
        <f t="shared" ref="K8:L8" si="17">_xlfn.PERCENTILE.INC(G:G,0.25)</f>
        <v>-0.009258341794</v>
      </c>
      <c r="L8" s="19">
        <f t="shared" si="17"/>
        <v>-0.01573614319</v>
      </c>
      <c r="M8" s="22"/>
    </row>
    <row r="9">
      <c r="A9" s="11">
        <v>46013.0</v>
      </c>
      <c r="B9" s="4">
        <v>70.06</v>
      </c>
      <c r="C9" s="4">
        <v>146.85</v>
      </c>
      <c r="D9" s="12"/>
      <c r="E9" s="16">
        <f t="shared" ref="E9:F9" si="18">(B9-B10)/B10</f>
        <v>-0.006522972206</v>
      </c>
      <c r="F9" s="16">
        <f t="shared" si="18"/>
        <v>-0.0165416555</v>
      </c>
      <c r="G9" s="17">
        <f t="shared" ref="G9:H9" si="19">B9/B10-1</f>
        <v>-0.006522972206</v>
      </c>
      <c r="H9" s="17">
        <f t="shared" si="19"/>
        <v>-0.0165416555</v>
      </c>
      <c r="J9" s="18" t="s">
        <v>25</v>
      </c>
      <c r="K9" s="19">
        <f t="shared" ref="K9:L9" si="20">K7-K8</f>
        <v>0.02975345685</v>
      </c>
      <c r="L9" s="19">
        <f t="shared" si="20"/>
        <v>0.03263030847</v>
      </c>
      <c r="M9" s="21"/>
    </row>
    <row r="10">
      <c r="A10" s="11">
        <v>46006.0</v>
      </c>
      <c r="B10" s="4">
        <v>70.52</v>
      </c>
      <c r="C10" s="4">
        <v>149.32</v>
      </c>
      <c r="D10" s="12"/>
      <c r="E10" s="16">
        <f t="shared" ref="E10:F10" si="21">(B10-B11)/B11</f>
        <v>0.01453028341</v>
      </c>
      <c r="F10" s="16">
        <f t="shared" si="21"/>
        <v>0.04903751581</v>
      </c>
      <c r="G10" s="17">
        <f t="shared" ref="G10:H10" si="22">B10/B11-1</f>
        <v>0.01453028341</v>
      </c>
      <c r="H10" s="17">
        <f t="shared" si="22"/>
        <v>0.04903751581</v>
      </c>
      <c r="J10" s="23"/>
      <c r="K10" s="21"/>
      <c r="L10" s="21"/>
      <c r="M10" s="21"/>
    </row>
    <row r="11">
      <c r="A11" s="11">
        <v>45999.0</v>
      </c>
      <c r="B11" s="4">
        <v>69.51</v>
      </c>
      <c r="C11" s="4">
        <v>142.34</v>
      </c>
      <c r="D11" s="12"/>
      <c r="E11" s="16">
        <f t="shared" ref="E11:F11" si="23">(B11-B12)/B12</f>
        <v>-0.04269384382</v>
      </c>
      <c r="F11" s="16">
        <f t="shared" si="23"/>
        <v>-0.02500171245</v>
      </c>
      <c r="G11" s="17">
        <f t="shared" ref="G11:H11" si="24">B11/B12-1</f>
        <v>-0.04269384382</v>
      </c>
      <c r="H11" s="17">
        <f t="shared" si="24"/>
        <v>-0.02500171245</v>
      </c>
      <c r="J11" s="18" t="s">
        <v>26</v>
      </c>
      <c r="K11" s="19">
        <f t="shared" ref="K11:L11" si="25">AVERAGE(G:G)</f>
        <v>0.003884425445</v>
      </c>
      <c r="L11" s="19">
        <f t="shared" si="25"/>
        <v>0.002354268929</v>
      </c>
    </row>
    <row r="12">
      <c r="A12" s="11">
        <v>45992.0</v>
      </c>
      <c r="B12" s="4">
        <v>72.61</v>
      </c>
      <c r="C12" s="4">
        <v>145.99</v>
      </c>
      <c r="D12" s="12"/>
      <c r="E12" s="16">
        <f t="shared" ref="E12:F12" si="26">(B12-B13)/B13</f>
        <v>0.00234676974</v>
      </c>
      <c r="F12" s="16">
        <f t="shared" si="26"/>
        <v>0.01643110771</v>
      </c>
      <c r="G12" s="17">
        <f t="shared" ref="G12:H12" si="27">B12/B13-1</f>
        <v>0.00234676974</v>
      </c>
      <c r="H12" s="17">
        <f t="shared" si="27"/>
        <v>0.01643110771</v>
      </c>
      <c r="J12" s="18" t="s">
        <v>27</v>
      </c>
      <c r="K12" s="19">
        <f t="shared" ref="K12:L12" si="28">AVEDEV(G:G)*52/51</f>
        <v>0.01592959746</v>
      </c>
      <c r="L12" s="19">
        <f t="shared" si="28"/>
        <v>0.02307176704</v>
      </c>
    </row>
    <row r="13">
      <c r="A13" s="11">
        <v>45985.0</v>
      </c>
      <c r="B13" s="4">
        <v>72.44</v>
      </c>
      <c r="C13" s="4">
        <v>143.63</v>
      </c>
      <c r="D13" s="12"/>
      <c r="E13" s="16">
        <f t="shared" ref="E13:F13" si="29">(B13-B14)/B14</f>
        <v>0.02519105576</v>
      </c>
      <c r="F13" s="16">
        <f t="shared" si="29"/>
        <v>0.003283039955</v>
      </c>
      <c r="G13" s="17">
        <f t="shared" ref="G13:H13" si="30">B13/B14-1</f>
        <v>0.02519105576</v>
      </c>
      <c r="H13" s="17">
        <f t="shared" si="30"/>
        <v>0.003283039955</v>
      </c>
      <c r="J13" s="18" t="s">
        <v>28</v>
      </c>
      <c r="K13" s="19">
        <f t="shared" ref="K13:L13" si="31">_xlfn.VAR.S(G:G)</f>
        <v>0.0004097213359</v>
      </c>
      <c r="L13" s="19">
        <f t="shared" si="31"/>
        <v>0.0008112001111</v>
      </c>
    </row>
    <row r="14">
      <c r="A14" s="11">
        <v>45978.0</v>
      </c>
      <c r="B14" s="4">
        <v>70.66</v>
      </c>
      <c r="C14" s="4">
        <v>143.16</v>
      </c>
      <c r="D14" s="12"/>
      <c r="E14" s="16">
        <f t="shared" ref="E14:F14" si="32">(B14-B15)/B15</f>
        <v>0.008564087925</v>
      </c>
      <c r="F14" s="16">
        <f t="shared" si="32"/>
        <v>0.02031216592</v>
      </c>
      <c r="G14" s="17">
        <f t="shared" ref="G14:H14" si="33">B14/B15-1</f>
        <v>0.008564087925</v>
      </c>
      <c r="H14" s="17">
        <f t="shared" si="33"/>
        <v>0.02031216592</v>
      </c>
      <c r="J14" s="18" t="s">
        <v>29</v>
      </c>
      <c r="K14" s="19">
        <f t="shared" ref="K14:L14" si="34">_xlfn.STDEV.S(G:G)</f>
        <v>0.02024157444</v>
      </c>
      <c r="L14" s="19">
        <f t="shared" si="34"/>
        <v>0.02848157494</v>
      </c>
    </row>
    <row r="15">
      <c r="A15" s="11">
        <v>45971.0</v>
      </c>
      <c r="B15" s="4">
        <v>70.06</v>
      </c>
      <c r="C15" s="4">
        <v>140.31</v>
      </c>
      <c r="D15" s="12"/>
      <c r="E15" s="16">
        <f t="shared" ref="E15:F15" si="35">(B15-B16)/B16</f>
        <v>0.02396959953</v>
      </c>
      <c r="F15" s="16">
        <f t="shared" si="35"/>
        <v>-0.02147988005</v>
      </c>
      <c r="G15" s="17">
        <f t="shared" ref="G15:H15" si="36">B15/B16-1</f>
        <v>0.02396959953</v>
      </c>
      <c r="H15" s="17">
        <f t="shared" si="36"/>
        <v>-0.02147988005</v>
      </c>
      <c r="K15" s="21"/>
      <c r="L15" s="21"/>
    </row>
    <row r="16">
      <c r="A16" s="11">
        <v>45964.0</v>
      </c>
      <c r="B16" s="4">
        <v>68.42</v>
      </c>
      <c r="C16" s="4">
        <v>143.39</v>
      </c>
      <c r="D16" s="12"/>
      <c r="E16" s="16">
        <f t="shared" ref="E16:F16" si="37">(B16-B17)/B17</f>
        <v>-0.01155735337</v>
      </c>
      <c r="F16" s="16">
        <f t="shared" si="37"/>
        <v>-0.03603361345</v>
      </c>
      <c r="G16" s="17">
        <f t="shared" ref="G16:H16" si="38">B16/B17-1</f>
        <v>-0.01155735337</v>
      </c>
      <c r="H16" s="17">
        <f t="shared" si="38"/>
        <v>-0.03603361345</v>
      </c>
      <c r="J16" s="1" t="s">
        <v>30</v>
      </c>
      <c r="K16" s="24">
        <f>K9*1.5</f>
        <v>0.04463018527</v>
      </c>
      <c r="L16" s="21"/>
    </row>
    <row r="17">
      <c r="A17" s="11">
        <v>45957.0</v>
      </c>
      <c r="B17" s="4">
        <v>69.22</v>
      </c>
      <c r="C17" s="4">
        <v>148.75</v>
      </c>
      <c r="D17" s="12"/>
      <c r="E17" s="16">
        <f t="shared" ref="E17:F17" si="39">(B17-B18)/B18</f>
        <v>0.01854031783</v>
      </c>
      <c r="F17" s="16">
        <f t="shared" si="39"/>
        <v>-0.0140518327</v>
      </c>
      <c r="G17" s="17">
        <f t="shared" ref="G17:H17" si="40">B17/B18-1</f>
        <v>0.01854031783</v>
      </c>
      <c r="H17" s="17">
        <f t="shared" si="40"/>
        <v>-0.0140518327</v>
      </c>
    </row>
    <row r="18">
      <c r="A18" s="11">
        <v>45950.0</v>
      </c>
      <c r="B18" s="4">
        <v>67.96</v>
      </c>
      <c r="C18" s="4">
        <v>150.87</v>
      </c>
      <c r="D18" s="12"/>
      <c r="E18" s="16">
        <f t="shared" ref="E18:F18" si="41">(B18-B19)/B19</f>
        <v>0.0208802764</v>
      </c>
      <c r="F18" s="16">
        <f t="shared" si="41"/>
        <v>0.02416672324</v>
      </c>
      <c r="G18" s="17">
        <f t="shared" ref="G18:H18" si="42">B18/B19-1</f>
        <v>0.0208802764</v>
      </c>
      <c r="H18" s="17">
        <f t="shared" si="42"/>
        <v>0.02416672324</v>
      </c>
    </row>
    <row r="19">
      <c r="A19" s="11">
        <v>45943.0</v>
      </c>
      <c r="B19" s="4">
        <v>66.57</v>
      </c>
      <c r="C19" s="4">
        <v>147.31</v>
      </c>
      <c r="D19" s="12"/>
      <c r="E19" s="16">
        <f t="shared" ref="E19:F19" si="43">(B19-B20)/B20</f>
        <v>0.005741048497</v>
      </c>
      <c r="F19" s="16">
        <f t="shared" si="43"/>
        <v>0.05704649828</v>
      </c>
      <c r="G19" s="17">
        <f t="shared" ref="G19:H19" si="44">B19/B20-1</f>
        <v>0.005741048497</v>
      </c>
      <c r="H19" s="17">
        <f t="shared" si="44"/>
        <v>0.05704649828</v>
      </c>
    </row>
    <row r="20">
      <c r="A20" s="11">
        <v>45936.0</v>
      </c>
      <c r="B20" s="4">
        <v>66.19</v>
      </c>
      <c r="C20" s="4">
        <v>139.36</v>
      </c>
      <c r="D20" s="12"/>
      <c r="E20" s="16">
        <f t="shared" ref="E20:F20" si="45">(B20-B21)/B21</f>
        <v>0.01502836988</v>
      </c>
      <c r="F20" s="16">
        <f t="shared" si="45"/>
        <v>0.01095393544</v>
      </c>
      <c r="G20" s="17">
        <f t="shared" ref="G20:H20" si="46">B20/B21-1</f>
        <v>0.01502836988</v>
      </c>
      <c r="H20" s="17">
        <f t="shared" si="46"/>
        <v>0.01095393544</v>
      </c>
    </row>
    <row r="21">
      <c r="A21" s="11">
        <v>45929.0</v>
      </c>
      <c r="B21" s="4">
        <v>65.21</v>
      </c>
      <c r="C21" s="4">
        <v>137.85</v>
      </c>
      <c r="D21" s="12"/>
      <c r="E21" s="16">
        <f t="shared" ref="E21:F21" si="47">(B21-B22)/B22</f>
        <v>-0.003819126184</v>
      </c>
      <c r="F21" s="16">
        <f t="shared" si="47"/>
        <v>-0.009271237602</v>
      </c>
      <c r="G21" s="17">
        <f t="shared" ref="G21:H21" si="48">B21/B22-1</f>
        <v>-0.003819126184</v>
      </c>
      <c r="H21" s="17">
        <f t="shared" si="48"/>
        <v>-0.009271237602</v>
      </c>
    </row>
    <row r="22">
      <c r="A22" s="11">
        <v>45922.0</v>
      </c>
      <c r="B22" s="25">
        <v>65.46</v>
      </c>
      <c r="C22" s="4">
        <v>139.14</v>
      </c>
      <c r="D22" s="12"/>
      <c r="E22" s="16">
        <f t="shared" ref="E22:F22" si="49">(B22-B23)/B23</f>
        <v>-0.008782556027</v>
      </c>
      <c r="F22" s="16">
        <f t="shared" si="49"/>
        <v>-0.01235093697</v>
      </c>
      <c r="G22" s="17">
        <f t="shared" ref="G22:H22" si="50">B22/B23-1</f>
        <v>-0.008782556027</v>
      </c>
      <c r="H22" s="17">
        <f t="shared" si="50"/>
        <v>-0.01235093697</v>
      </c>
    </row>
    <row r="23">
      <c r="A23" s="11">
        <v>45915.0</v>
      </c>
      <c r="B23" s="26">
        <v>66.04</v>
      </c>
      <c r="C23" s="4">
        <v>140.88</v>
      </c>
      <c r="D23" s="12"/>
      <c r="E23" s="16">
        <f t="shared" ref="E23:F23" si="51">(B23-B24)/B24</f>
        <v>-0.01388681499</v>
      </c>
      <c r="F23" s="16">
        <f t="shared" si="51"/>
        <v>-0.009978917779</v>
      </c>
      <c r="G23" s="17">
        <f t="shared" ref="G23:H23" si="52">B23/B24-1</f>
        <v>-0.01388681499</v>
      </c>
      <c r="H23" s="17">
        <f t="shared" si="52"/>
        <v>-0.009978917779</v>
      </c>
    </row>
    <row r="24">
      <c r="A24" s="11">
        <v>45908.0</v>
      </c>
      <c r="B24" s="26">
        <v>66.97</v>
      </c>
      <c r="C24" s="25">
        <v>142.3</v>
      </c>
      <c r="D24" s="12"/>
      <c r="E24" s="16">
        <f t="shared" ref="E24:F24" si="53">(B24-B25)/B25</f>
        <v>-0.01500220621</v>
      </c>
      <c r="F24" s="16">
        <f t="shared" si="53"/>
        <v>-0.01515675825</v>
      </c>
      <c r="G24" s="17">
        <f t="shared" ref="G24:H24" si="54">B24/B25-1</f>
        <v>-0.01500220621</v>
      </c>
      <c r="H24" s="17">
        <f t="shared" si="54"/>
        <v>-0.01515675825</v>
      </c>
    </row>
    <row r="25">
      <c r="A25" s="11">
        <v>45901.0</v>
      </c>
      <c r="B25" s="26">
        <v>67.99</v>
      </c>
      <c r="C25" s="26">
        <v>144.49</v>
      </c>
      <c r="D25" s="12"/>
      <c r="E25" s="16">
        <f t="shared" ref="E25:F25" si="55">(B25-B26)/B26</f>
        <v>-0.01620604833</v>
      </c>
      <c r="F25" s="16">
        <f t="shared" si="55"/>
        <v>-0.006668499931</v>
      </c>
      <c r="G25" s="17">
        <f t="shared" ref="G25:H25" si="56">B25/B26-1</f>
        <v>-0.01620604833</v>
      </c>
      <c r="H25" s="17">
        <f t="shared" si="56"/>
        <v>-0.006668499931</v>
      </c>
    </row>
    <row r="26">
      <c r="A26" s="11">
        <v>45894.0</v>
      </c>
      <c r="B26" s="26">
        <v>69.11</v>
      </c>
      <c r="C26" s="26">
        <v>145.46</v>
      </c>
      <c r="D26" s="12"/>
      <c r="E26" s="16">
        <f t="shared" ref="E26:F26" si="57">(B26-B27)/B27</f>
        <v>0.003047895501</v>
      </c>
      <c r="F26" s="16">
        <f t="shared" si="57"/>
        <v>-0.004993501607</v>
      </c>
      <c r="G26" s="17">
        <f t="shared" ref="G26:H26" si="58">B26/B27-1</f>
        <v>0.003047895501</v>
      </c>
      <c r="H26" s="17">
        <f t="shared" si="58"/>
        <v>-0.004993501607</v>
      </c>
    </row>
    <row r="27">
      <c r="A27" s="11">
        <v>45887.0</v>
      </c>
      <c r="B27" s="26">
        <v>68.9</v>
      </c>
      <c r="C27" s="26">
        <v>146.19</v>
      </c>
      <c r="D27" s="12"/>
      <c r="E27" s="16">
        <f t="shared" ref="E27:F27" si="59">(B27-B28)/B28</f>
        <v>-0.006058857473</v>
      </c>
      <c r="F27" s="16">
        <f t="shared" si="59"/>
        <v>0.03570669501</v>
      </c>
      <c r="G27" s="17">
        <f t="shared" ref="G27:H27" si="60">B27/B28-1</f>
        <v>-0.006058857473</v>
      </c>
      <c r="H27" s="17">
        <f t="shared" si="60"/>
        <v>0.03570669501</v>
      </c>
    </row>
    <row r="28">
      <c r="A28" s="11">
        <v>45880.0</v>
      </c>
      <c r="B28" s="26">
        <v>69.32</v>
      </c>
      <c r="C28" s="26">
        <v>141.15</v>
      </c>
      <c r="D28" s="12"/>
      <c r="E28" s="16">
        <f t="shared" ref="E28:F28" si="61">(B28-B29)/B29</f>
        <v>0.02151488358</v>
      </c>
      <c r="F28" s="16">
        <f t="shared" si="61"/>
        <v>0.04254376246</v>
      </c>
      <c r="G28" s="17">
        <f t="shared" ref="G28:H28" si="62">B28/B29-1</f>
        <v>0.02151488358</v>
      </c>
      <c r="H28" s="17">
        <f t="shared" si="62"/>
        <v>0.04254376246</v>
      </c>
    </row>
    <row r="29">
      <c r="A29" s="11">
        <v>45873.0</v>
      </c>
      <c r="B29" s="26">
        <v>67.86</v>
      </c>
      <c r="C29" s="26">
        <v>135.39</v>
      </c>
      <c r="D29" s="12"/>
      <c r="E29" s="16">
        <f t="shared" ref="E29:F29" si="63">(B29-B30)/B30</f>
        <v>-0.004401408451</v>
      </c>
      <c r="F29" s="16">
        <f t="shared" si="63"/>
        <v>-0.02904475043</v>
      </c>
      <c r="G29" s="17">
        <f t="shared" ref="G29:H29" si="64">B29/B30-1</f>
        <v>-0.004401408451</v>
      </c>
      <c r="H29" s="17">
        <f t="shared" si="64"/>
        <v>-0.02904475043</v>
      </c>
    </row>
    <row r="30">
      <c r="A30" s="11">
        <v>45866.0</v>
      </c>
      <c r="B30" s="26">
        <v>68.16</v>
      </c>
      <c r="C30" s="26">
        <v>139.44</v>
      </c>
      <c r="D30" s="12"/>
      <c r="E30" s="16">
        <f t="shared" ref="E30:F30" si="65">(B30-B31)/B31</f>
        <v>-0.009734127561</v>
      </c>
      <c r="F30" s="16">
        <f t="shared" si="65"/>
        <v>0.001508295626</v>
      </c>
      <c r="G30" s="17">
        <f t="shared" ref="G30:H30" si="66">B30/B31-1</f>
        <v>-0.009734127561</v>
      </c>
      <c r="H30" s="17">
        <f t="shared" si="66"/>
        <v>0.001508295626</v>
      </c>
    </row>
    <row r="31">
      <c r="A31" s="11">
        <v>45859.0</v>
      </c>
      <c r="B31" s="26">
        <v>68.83</v>
      </c>
      <c r="C31" s="26">
        <v>139.23</v>
      </c>
      <c r="D31" s="12"/>
      <c r="E31" s="16">
        <f t="shared" ref="E31:F31" si="67">(B31-B32)/B32</f>
        <v>-0.000290486565</v>
      </c>
      <c r="F31" s="16">
        <f t="shared" si="67"/>
        <v>0.05894432613</v>
      </c>
      <c r="G31" s="17">
        <f t="shared" ref="G31:H31" si="68">B31/B32-1</f>
        <v>-0.000290486565</v>
      </c>
      <c r="H31" s="17">
        <f t="shared" si="68"/>
        <v>0.05894432613</v>
      </c>
    </row>
    <row r="32">
      <c r="A32" s="11">
        <v>45852.0</v>
      </c>
      <c r="B32" s="26">
        <v>68.85</v>
      </c>
      <c r="C32" s="26">
        <v>131.48</v>
      </c>
      <c r="D32" s="12"/>
      <c r="E32" s="16">
        <f t="shared" ref="E32:F32" si="69">(B32-B33)/B33</f>
        <v>-0.02076518276</v>
      </c>
      <c r="F32" s="16">
        <f t="shared" si="69"/>
        <v>-0.0008359297819</v>
      </c>
      <c r="G32" s="17">
        <f t="shared" ref="G32:H32" si="70">B32/B33-1</f>
        <v>-0.02076518276</v>
      </c>
      <c r="H32" s="17">
        <f t="shared" si="70"/>
        <v>-0.0008359297819</v>
      </c>
    </row>
    <row r="33">
      <c r="A33" s="11">
        <v>45845.0</v>
      </c>
      <c r="B33" s="26">
        <v>70.31</v>
      </c>
      <c r="C33" s="26">
        <v>131.59</v>
      </c>
      <c r="D33" s="12"/>
      <c r="E33" s="16">
        <f t="shared" ref="E33:F33" si="71">(B33-B34)/B34</f>
        <v>0.01442793248</v>
      </c>
      <c r="F33" s="16">
        <f t="shared" si="71"/>
        <v>0.0330507144</v>
      </c>
      <c r="G33" s="17">
        <f t="shared" ref="G33:H33" si="72">B33/B34-1</f>
        <v>0.01442793248</v>
      </c>
      <c r="H33" s="17">
        <f t="shared" si="72"/>
        <v>0.0330507144</v>
      </c>
    </row>
    <row r="34">
      <c r="A34" s="11">
        <v>45838.0</v>
      </c>
      <c r="B34" s="26">
        <v>69.31</v>
      </c>
      <c r="C34" s="26">
        <v>127.38</v>
      </c>
      <c r="D34" s="12"/>
      <c r="E34" s="16">
        <f t="shared" ref="E34:F34" si="73">(B34-B35)/B35</f>
        <v>0.02166863208</v>
      </c>
      <c r="F34" s="16">
        <f t="shared" si="73"/>
        <v>0.01530368245</v>
      </c>
      <c r="G34" s="17">
        <f t="shared" ref="G34:H34" si="74">B34/B35-1</f>
        <v>0.02166863208</v>
      </c>
      <c r="H34" s="17">
        <f t="shared" si="74"/>
        <v>0.01530368245</v>
      </c>
    </row>
    <row r="35">
      <c r="A35" s="11">
        <v>45831.0</v>
      </c>
      <c r="B35" s="26">
        <v>67.84</v>
      </c>
      <c r="C35" s="26">
        <v>125.46</v>
      </c>
      <c r="D35" s="12"/>
      <c r="E35" s="16">
        <f t="shared" ref="E35:F35" si="75">(B35-B36)/B36</f>
        <v>-0.02374442366</v>
      </c>
      <c r="F35" s="16">
        <f t="shared" si="75"/>
        <v>-0.01360169825</v>
      </c>
      <c r="G35" s="17">
        <f t="shared" ref="G35:H35" si="76">B35/B36-1</f>
        <v>-0.02374442366</v>
      </c>
      <c r="H35" s="17">
        <f t="shared" si="76"/>
        <v>-0.01360169825</v>
      </c>
    </row>
    <row r="36">
      <c r="A36" s="11">
        <v>45824.0</v>
      </c>
      <c r="B36" s="26">
        <v>69.49</v>
      </c>
      <c r="C36" s="26">
        <v>127.19</v>
      </c>
      <c r="D36" s="12"/>
      <c r="E36" s="16">
        <f t="shared" ref="E36:F36" si="77">(B36-B37)/B37</f>
        <v>-0.004726439416</v>
      </c>
      <c r="F36" s="16">
        <f t="shared" si="77"/>
        <v>0.01735722284</v>
      </c>
      <c r="G36" s="17">
        <f t="shared" ref="G36:H36" si="78">B36/B37-1</f>
        <v>-0.004726439416</v>
      </c>
      <c r="H36" s="17">
        <f t="shared" si="78"/>
        <v>0.01735722284</v>
      </c>
    </row>
    <row r="37">
      <c r="A37" s="11">
        <v>45817.0</v>
      </c>
      <c r="B37" s="25">
        <v>69.82</v>
      </c>
      <c r="C37" s="26">
        <v>125.02</v>
      </c>
      <c r="D37" s="12"/>
      <c r="E37" s="16">
        <f t="shared" ref="E37:F37" si="79">(B37-B38)/B38</f>
        <v>-0.01034727144</v>
      </c>
      <c r="F37" s="16">
        <f t="shared" si="79"/>
        <v>-0.01083946515</v>
      </c>
      <c r="G37" s="17">
        <f t="shared" ref="G37:H37" si="80">B37/B38-1</f>
        <v>-0.01034727144</v>
      </c>
      <c r="H37" s="17">
        <f t="shared" si="80"/>
        <v>-0.01083946515</v>
      </c>
    </row>
    <row r="38">
      <c r="A38" s="11">
        <v>45810.0</v>
      </c>
      <c r="B38" s="26">
        <v>70.55</v>
      </c>
      <c r="C38" s="25">
        <v>126.39</v>
      </c>
      <c r="D38" s="12"/>
      <c r="E38" s="16">
        <f t="shared" ref="E38:F38" si="81">(B38-B39)/B39</f>
        <v>0.004556457354</v>
      </c>
      <c r="F38" s="16">
        <f t="shared" si="81"/>
        <v>0.01632357671</v>
      </c>
      <c r="G38" s="17">
        <f t="shared" ref="G38:H38" si="82">B38/B39-1</f>
        <v>0.004556457354</v>
      </c>
      <c r="H38" s="17">
        <f t="shared" si="82"/>
        <v>0.01632357671</v>
      </c>
    </row>
    <row r="39">
      <c r="A39" s="11">
        <v>45803.0</v>
      </c>
      <c r="B39" s="26">
        <v>70.23</v>
      </c>
      <c r="C39" s="26">
        <v>124.36</v>
      </c>
      <c r="D39" s="12"/>
      <c r="E39" s="16">
        <f t="shared" ref="E39:F39" si="83">(B39-B40)/B40</f>
        <v>-0.003122782115</v>
      </c>
      <c r="F39" s="16">
        <f t="shared" si="83"/>
        <v>-0.02001576044</v>
      </c>
      <c r="G39" s="17">
        <f t="shared" ref="G39:H39" si="84">B39/B40-1</f>
        <v>-0.003122782115</v>
      </c>
      <c r="H39" s="17">
        <f t="shared" si="84"/>
        <v>-0.02001576044</v>
      </c>
    </row>
    <row r="40">
      <c r="A40" s="11">
        <v>45796.0</v>
      </c>
      <c r="B40" s="26">
        <v>70.45</v>
      </c>
      <c r="C40" s="26">
        <v>126.9</v>
      </c>
      <c r="D40" s="12"/>
      <c r="E40" s="16">
        <f t="shared" ref="E40:F40" si="85">(B40-B41)/B41</f>
        <v>0.02101449275</v>
      </c>
      <c r="F40" s="16">
        <f t="shared" si="85"/>
        <v>0.01180035082</v>
      </c>
      <c r="G40" s="17">
        <f t="shared" ref="G40:H40" si="86">B40/B41-1</f>
        <v>0.02101449275</v>
      </c>
      <c r="H40" s="17">
        <f t="shared" si="86"/>
        <v>0.01180035082</v>
      </c>
    </row>
    <row r="41">
      <c r="A41" s="11">
        <v>45789.0</v>
      </c>
      <c r="B41" s="26">
        <v>69.0</v>
      </c>
      <c r="C41" s="26">
        <v>125.42</v>
      </c>
      <c r="D41" s="12"/>
      <c r="E41" s="16">
        <f t="shared" ref="E41:F41" si="87">(B41-B42)/B42</f>
        <v>-0.01583226359</v>
      </c>
      <c r="F41" s="16">
        <f t="shared" si="87"/>
        <v>-0.02472783826</v>
      </c>
      <c r="G41" s="17">
        <f t="shared" ref="G41:H41" si="88">B41/B42-1</f>
        <v>-0.01583226359</v>
      </c>
      <c r="H41" s="17">
        <f t="shared" si="88"/>
        <v>-0.02472783826</v>
      </c>
    </row>
    <row r="42">
      <c r="A42" s="11">
        <v>45782.0</v>
      </c>
      <c r="B42" s="26">
        <v>70.11</v>
      </c>
      <c r="C42" s="26">
        <v>128.6</v>
      </c>
      <c r="D42" s="12"/>
      <c r="E42" s="16">
        <f t="shared" ref="E42:F42" si="89">(B42-B43)/B43</f>
        <v>-0.003553155202</v>
      </c>
      <c r="F42" s="16">
        <f t="shared" si="89"/>
        <v>0.002807236432</v>
      </c>
      <c r="G42" s="17">
        <f t="shared" ref="G42:H42" si="90">B42/B43-1</f>
        <v>-0.003553155202</v>
      </c>
      <c r="H42" s="17">
        <f t="shared" si="90"/>
        <v>0.002807236432</v>
      </c>
    </row>
    <row r="43">
      <c r="A43" s="11">
        <v>45775.0</v>
      </c>
      <c r="B43" s="26">
        <v>70.36</v>
      </c>
      <c r="C43" s="26">
        <v>128.24</v>
      </c>
      <c r="D43" s="12"/>
      <c r="E43" s="16">
        <f t="shared" ref="E43:F43" si="91">(B43-B44)/B44</f>
        <v>-0.01497970041</v>
      </c>
      <c r="F43" s="16">
        <f t="shared" si="91"/>
        <v>-0.06625891947</v>
      </c>
      <c r="G43" s="17">
        <f t="shared" ref="G43:H43" si="92">B43/B44-1</f>
        <v>-0.01497970041</v>
      </c>
      <c r="H43" s="17">
        <f t="shared" si="92"/>
        <v>-0.06625891947</v>
      </c>
    </row>
    <row r="44">
      <c r="A44" s="11">
        <v>45768.0</v>
      </c>
      <c r="B44" s="26">
        <v>71.43</v>
      </c>
      <c r="C44" s="26">
        <v>137.34</v>
      </c>
      <c r="D44" s="12"/>
      <c r="E44" s="16">
        <f t="shared" ref="E44:F44" si="93">(B44-B45)/B45</f>
        <v>0.02203462584</v>
      </c>
      <c r="F44" s="16">
        <f t="shared" si="93"/>
        <v>-0.01101749838</v>
      </c>
      <c r="G44" s="17">
        <f t="shared" ref="G44:H44" si="94">B44/B45-1</f>
        <v>0.02203462584</v>
      </c>
      <c r="H44" s="17">
        <f t="shared" si="94"/>
        <v>-0.01101749838</v>
      </c>
    </row>
    <row r="45">
      <c r="A45" s="11">
        <v>45761.0</v>
      </c>
      <c r="B45" s="26">
        <v>69.89</v>
      </c>
      <c r="C45" s="26">
        <v>138.87</v>
      </c>
      <c r="D45" s="12"/>
      <c r="E45" s="16">
        <f t="shared" ref="E45:F45" si="95">(B45-B46)/B46</f>
        <v>0.02133567149</v>
      </c>
      <c r="F45" s="16">
        <f t="shared" si="95"/>
        <v>-0.01482690125</v>
      </c>
      <c r="G45" s="17">
        <f t="shared" ref="G45:H45" si="96">B45/B46-1</f>
        <v>0.02133567149</v>
      </c>
      <c r="H45" s="17">
        <f t="shared" si="96"/>
        <v>-0.01482690125</v>
      </c>
    </row>
    <row r="46">
      <c r="A46" s="11">
        <v>45754.0</v>
      </c>
      <c r="B46" s="26">
        <v>68.43</v>
      </c>
      <c r="C46" s="26">
        <v>140.96</v>
      </c>
      <c r="D46" s="12"/>
      <c r="E46" s="16">
        <f t="shared" ref="E46:F46" si="97">(B46-B47)/B47</f>
        <v>-0.006244554168</v>
      </c>
      <c r="F46" s="16">
        <f t="shared" si="97"/>
        <v>-0.01783723523</v>
      </c>
      <c r="G46" s="17">
        <f t="shared" ref="G46:H46" si="98">B46/B47-1</f>
        <v>-0.006244554168</v>
      </c>
      <c r="H46" s="17">
        <f t="shared" si="98"/>
        <v>-0.01783723523</v>
      </c>
    </row>
    <row r="47">
      <c r="A47" s="11">
        <v>45747.0</v>
      </c>
      <c r="B47" s="26">
        <v>68.86</v>
      </c>
      <c r="C47" s="26">
        <v>143.52</v>
      </c>
      <c r="D47" s="12"/>
      <c r="E47" s="16">
        <f t="shared" ref="E47:F47" si="99">(B47-B48)/B48</f>
        <v>0.02485488912</v>
      </c>
      <c r="F47" s="16">
        <f t="shared" si="99"/>
        <v>0.02624240257</v>
      </c>
      <c r="G47" s="17">
        <f t="shared" ref="G47:H47" si="100">B47/B48-1</f>
        <v>0.02485488912</v>
      </c>
      <c r="H47" s="17">
        <f t="shared" si="100"/>
        <v>0.02624240257</v>
      </c>
    </row>
    <row r="48">
      <c r="A48" s="11">
        <v>45740.0</v>
      </c>
      <c r="B48" s="4">
        <v>67.19</v>
      </c>
      <c r="C48" s="26">
        <v>139.85</v>
      </c>
      <c r="D48" s="12"/>
      <c r="E48" s="16">
        <f t="shared" ref="E48:F48" si="101">(B48-B49)/B49</f>
        <v>0.0001488538255</v>
      </c>
      <c r="F48" s="16">
        <f t="shared" si="101"/>
        <v>-0.02113809757</v>
      </c>
      <c r="G48" s="17">
        <f t="shared" ref="G48:H48" si="102">B48/B49-1</f>
        <v>0.0001488538255</v>
      </c>
      <c r="H48" s="17">
        <f t="shared" si="102"/>
        <v>-0.02113809757</v>
      </c>
    </row>
    <row r="49">
      <c r="A49" s="11">
        <v>45733.0</v>
      </c>
      <c r="B49" s="26">
        <v>67.18</v>
      </c>
      <c r="C49" s="26">
        <v>142.87</v>
      </c>
      <c r="D49" s="12"/>
      <c r="E49" s="16">
        <f t="shared" ref="E49:F49" si="103">(B49-B50)/B50</f>
        <v>-0.03170942635</v>
      </c>
      <c r="F49" s="16">
        <f t="shared" si="103"/>
        <v>-0.02934981996</v>
      </c>
      <c r="G49" s="17">
        <f t="shared" ref="G49:H49" si="104">B49/B50-1</f>
        <v>-0.03170942635</v>
      </c>
      <c r="H49" s="17">
        <f t="shared" si="104"/>
        <v>-0.02934981996</v>
      </c>
    </row>
    <row r="50">
      <c r="A50" s="11">
        <v>45726.0</v>
      </c>
      <c r="B50" s="26">
        <v>69.38</v>
      </c>
      <c r="C50" s="26">
        <v>147.19</v>
      </c>
      <c r="D50" s="12"/>
      <c r="E50" s="16">
        <f t="shared" ref="E50:F50" si="105">(B50-B51)/B51</f>
        <v>0.003035998265</v>
      </c>
      <c r="F50" s="16">
        <f t="shared" si="105"/>
        <v>0.006289738155</v>
      </c>
      <c r="G50" s="17">
        <f t="shared" ref="G50:H50" si="106">B50/B51-1</f>
        <v>0.003035998265</v>
      </c>
      <c r="H50" s="17">
        <f t="shared" si="106"/>
        <v>0.006289738155</v>
      </c>
    </row>
    <row r="51">
      <c r="A51" s="11">
        <v>45719.0</v>
      </c>
      <c r="B51" s="25">
        <v>69.17</v>
      </c>
      <c r="C51" s="26">
        <v>146.27</v>
      </c>
      <c r="D51" s="12"/>
      <c r="E51" s="16">
        <f t="shared" ref="E51:F51" si="107">(B51-B52)/B52</f>
        <v>-0.002019910547</v>
      </c>
      <c r="F51" s="16">
        <f t="shared" si="107"/>
        <v>-0.0001367147447</v>
      </c>
      <c r="G51" s="17">
        <f t="shared" ref="G51:H51" si="108">B51/B52-1</f>
        <v>-0.002019910547</v>
      </c>
      <c r="H51" s="17">
        <f t="shared" si="108"/>
        <v>-0.0001367147447</v>
      </c>
    </row>
    <row r="52">
      <c r="A52" s="11">
        <v>45712.0</v>
      </c>
      <c r="B52" s="26">
        <v>69.31</v>
      </c>
      <c r="C52" s="25">
        <v>146.29</v>
      </c>
      <c r="D52" s="12"/>
      <c r="E52" s="16">
        <f t="shared" ref="E52:F52" si="109">(B52-B53)/B53</f>
        <v>0.03602391629</v>
      </c>
      <c r="F52" s="16">
        <f t="shared" si="109"/>
        <v>0.07046685204</v>
      </c>
      <c r="G52" s="17">
        <f t="shared" ref="G52:H52" si="110">B52/B53-1</f>
        <v>0.03602391629</v>
      </c>
      <c r="H52" s="17">
        <f t="shared" si="110"/>
        <v>0.07046685204</v>
      </c>
    </row>
    <row r="53">
      <c r="A53" s="11">
        <v>45705.0</v>
      </c>
      <c r="B53" s="26">
        <v>66.9</v>
      </c>
      <c r="C53" s="26">
        <v>136.66</v>
      </c>
      <c r="D53" s="12"/>
      <c r="E53" s="16">
        <f t="shared" ref="E53:F53" si="111">(B53-B54)/B54</f>
        <v>0.07885824867</v>
      </c>
      <c r="F53" s="16">
        <f t="shared" si="111"/>
        <v>-0.008200885405</v>
      </c>
      <c r="G53" s="17">
        <f t="shared" ref="G53:H53" si="112">B53/B54-1</f>
        <v>0.07885824867</v>
      </c>
      <c r="H53" s="17">
        <f t="shared" si="112"/>
        <v>-0.008200885405</v>
      </c>
    </row>
    <row r="54">
      <c r="A54" s="11">
        <v>45698.0</v>
      </c>
      <c r="B54" s="26">
        <v>62.01</v>
      </c>
      <c r="C54" s="26">
        <v>137.79</v>
      </c>
      <c r="D54" s="12"/>
      <c r="E54" s="16"/>
      <c r="F54" s="16"/>
      <c r="G54" s="17"/>
      <c r="H54" s="17"/>
    </row>
    <row r="55">
      <c r="A55" s="11"/>
      <c r="B55" s="9"/>
      <c r="C55" s="9"/>
      <c r="D55" s="12"/>
      <c r="F55" s="16"/>
      <c r="G55" s="17"/>
      <c r="H55" s="17"/>
    </row>
    <row r="56">
      <c r="A56" s="27"/>
      <c r="B56" s="12"/>
      <c r="C56" s="12"/>
      <c r="D56" s="12"/>
      <c r="F56" s="16"/>
      <c r="G56" s="17"/>
      <c r="H56" s="17"/>
    </row>
    <row r="57">
      <c r="A57" s="27"/>
      <c r="B57" s="12"/>
      <c r="C57" s="12"/>
      <c r="D57" s="12"/>
      <c r="F57" s="16"/>
      <c r="G57" s="17"/>
      <c r="H57" s="17"/>
    </row>
    <row r="58">
      <c r="A58" s="27"/>
      <c r="B58" s="12"/>
      <c r="C58" s="12"/>
      <c r="D58" s="12"/>
      <c r="F58" s="16"/>
      <c r="G58" s="17"/>
      <c r="H58" s="17"/>
    </row>
    <row r="59">
      <c r="A59" s="27"/>
      <c r="B59" s="12"/>
      <c r="C59" s="12"/>
      <c r="D59" s="12"/>
      <c r="G59" s="17"/>
      <c r="H59" s="17"/>
    </row>
    <row r="60">
      <c r="A60" s="27"/>
      <c r="B60" s="12"/>
      <c r="C60" s="12"/>
      <c r="D60" s="12"/>
      <c r="G60" s="17"/>
      <c r="H60" s="17"/>
    </row>
    <row r="61">
      <c r="A61" s="27"/>
      <c r="B61" s="12"/>
      <c r="C61" s="12"/>
      <c r="D61" s="12"/>
      <c r="G61" s="17"/>
      <c r="H61" s="17"/>
    </row>
    <row r="62">
      <c r="A62" s="27"/>
      <c r="B62" s="12"/>
      <c r="C62" s="12"/>
      <c r="D62" s="12"/>
      <c r="G62" s="17"/>
      <c r="H62" s="17"/>
    </row>
    <row r="63">
      <c r="A63" s="27"/>
      <c r="B63" s="12"/>
      <c r="C63" s="12"/>
      <c r="D63" s="12"/>
      <c r="G63" s="17"/>
      <c r="H63" s="17"/>
    </row>
    <row r="64">
      <c r="A64" s="27"/>
      <c r="B64" s="12"/>
      <c r="C64" s="12"/>
      <c r="D64" s="12"/>
      <c r="G64" s="17"/>
      <c r="H64" s="17"/>
    </row>
    <row r="65">
      <c r="A65" s="27"/>
      <c r="B65" s="12"/>
      <c r="C65" s="12"/>
      <c r="D65" s="12"/>
      <c r="G65" s="17"/>
      <c r="H65" s="17"/>
    </row>
    <row r="66">
      <c r="A66" s="27"/>
      <c r="B66" s="12"/>
      <c r="C66" s="12"/>
      <c r="D66" s="12"/>
      <c r="G66" s="17"/>
      <c r="H66" s="17"/>
    </row>
    <row r="67">
      <c r="A67" s="27"/>
      <c r="B67" s="12"/>
      <c r="C67" s="12"/>
      <c r="D67" s="12"/>
      <c r="G67" s="17"/>
      <c r="H67" s="17"/>
    </row>
    <row r="68">
      <c r="A68" s="27"/>
      <c r="B68" s="12"/>
      <c r="C68" s="12"/>
      <c r="D68" s="12"/>
      <c r="G68" s="17"/>
      <c r="H68" s="17"/>
    </row>
    <row r="69">
      <c r="A69" s="27"/>
      <c r="B69" s="12"/>
      <c r="C69" s="12"/>
      <c r="D69" s="12"/>
      <c r="G69" s="17"/>
      <c r="H69" s="17"/>
    </row>
    <row r="70">
      <c r="A70" s="27"/>
      <c r="B70" s="12"/>
      <c r="C70" s="12"/>
      <c r="D70" s="12"/>
      <c r="G70" s="17"/>
      <c r="H70" s="17"/>
    </row>
    <row r="71">
      <c r="A71" s="27"/>
      <c r="B71" s="12"/>
      <c r="C71" s="12"/>
      <c r="D71" s="12"/>
      <c r="G71" s="17"/>
      <c r="H71" s="17"/>
    </row>
    <row r="72">
      <c r="A72" s="27"/>
      <c r="B72" s="12"/>
      <c r="C72" s="12"/>
      <c r="D72" s="12"/>
      <c r="G72" s="17"/>
      <c r="H72" s="17"/>
    </row>
    <row r="73">
      <c r="A73" s="27"/>
      <c r="B73" s="12"/>
      <c r="C73" s="12"/>
      <c r="D73" s="12"/>
      <c r="G73" s="17"/>
      <c r="H73" s="17"/>
    </row>
    <row r="74">
      <c r="A74" s="27"/>
      <c r="B74" s="12"/>
      <c r="C74" s="12"/>
      <c r="D74" s="12"/>
      <c r="G74" s="17"/>
      <c r="H74" s="17"/>
    </row>
    <row r="75">
      <c r="A75" s="27"/>
      <c r="B75" s="12"/>
      <c r="C75" s="12"/>
      <c r="D75" s="12"/>
      <c r="G75" s="17"/>
      <c r="H75" s="17"/>
    </row>
    <row r="76">
      <c r="A76" s="27"/>
      <c r="B76" s="12"/>
      <c r="C76" s="12"/>
      <c r="D76" s="12"/>
      <c r="G76" s="17"/>
      <c r="H76" s="17"/>
    </row>
    <row r="77">
      <c r="A77" s="27"/>
      <c r="B77" s="12"/>
      <c r="C77" s="12"/>
      <c r="D77" s="12"/>
      <c r="G77" s="17"/>
      <c r="H77" s="17"/>
    </row>
    <row r="78">
      <c r="A78" s="27"/>
      <c r="B78" s="12"/>
      <c r="C78" s="12"/>
      <c r="D78" s="12"/>
      <c r="G78" s="17"/>
      <c r="H78" s="17"/>
    </row>
    <row r="79">
      <c r="A79" s="27"/>
      <c r="B79" s="12"/>
      <c r="C79" s="12"/>
      <c r="D79" s="12"/>
      <c r="G79" s="17"/>
      <c r="H79" s="17"/>
    </row>
    <row r="80">
      <c r="A80" s="27"/>
      <c r="B80" s="12"/>
      <c r="C80" s="12"/>
      <c r="D80" s="12"/>
      <c r="G80" s="17"/>
      <c r="H80" s="17"/>
    </row>
    <row r="81">
      <c r="A81" s="27"/>
      <c r="B81" s="12"/>
      <c r="C81" s="12"/>
      <c r="D81" s="12"/>
      <c r="G81" s="17"/>
      <c r="H81" s="17"/>
    </row>
    <row r="82">
      <c r="A82" s="27"/>
      <c r="B82" s="12"/>
      <c r="C82" s="12"/>
      <c r="D82" s="12"/>
      <c r="G82" s="17"/>
      <c r="H82" s="17"/>
    </row>
    <row r="83">
      <c r="A83" s="27"/>
      <c r="B83" s="12"/>
      <c r="C83" s="12"/>
      <c r="D83" s="12"/>
      <c r="G83" s="17"/>
      <c r="H83" s="17"/>
    </row>
    <row r="84">
      <c r="A84" s="27"/>
      <c r="B84" s="12"/>
      <c r="C84" s="12"/>
      <c r="D84" s="12"/>
      <c r="G84" s="17"/>
      <c r="H84" s="17"/>
    </row>
    <row r="85">
      <c r="A85" s="27"/>
      <c r="B85" s="12"/>
      <c r="C85" s="12"/>
      <c r="D85" s="12"/>
      <c r="G85" s="17"/>
      <c r="H85" s="17"/>
    </row>
    <row r="86">
      <c r="A86" s="27"/>
      <c r="B86" s="12"/>
      <c r="C86" s="12"/>
      <c r="D86" s="12"/>
      <c r="G86" s="17"/>
      <c r="H86" s="17"/>
    </row>
    <row r="87">
      <c r="A87" s="27"/>
      <c r="B87" s="12"/>
      <c r="C87" s="12"/>
      <c r="D87" s="12"/>
      <c r="G87" s="17"/>
      <c r="H87" s="17"/>
    </row>
    <row r="88">
      <c r="A88" s="27"/>
      <c r="B88" s="12"/>
      <c r="C88" s="12"/>
      <c r="D88" s="12"/>
      <c r="G88" s="17"/>
      <c r="H88" s="17"/>
    </row>
    <row r="89">
      <c r="A89" s="27"/>
      <c r="B89" s="12"/>
      <c r="C89" s="12"/>
      <c r="D89" s="12"/>
      <c r="G89" s="17"/>
      <c r="H89" s="17"/>
    </row>
    <row r="90">
      <c r="A90" s="27"/>
      <c r="B90" s="12"/>
      <c r="C90" s="12"/>
      <c r="D90" s="12"/>
      <c r="G90" s="17"/>
      <c r="H90" s="17"/>
    </row>
    <row r="91">
      <c r="A91" s="27"/>
      <c r="B91" s="12"/>
      <c r="C91" s="12"/>
      <c r="D91" s="12"/>
      <c r="G91" s="17"/>
      <c r="H91" s="17"/>
    </row>
    <row r="92">
      <c r="A92" s="27"/>
      <c r="B92" s="12"/>
      <c r="C92" s="12"/>
      <c r="D92" s="12"/>
      <c r="G92" s="17"/>
      <c r="H92" s="17"/>
    </row>
    <row r="93">
      <c r="A93" s="27"/>
      <c r="B93" s="12"/>
      <c r="C93" s="12"/>
      <c r="D93" s="12"/>
      <c r="G93" s="17"/>
      <c r="H93" s="17"/>
    </row>
    <row r="94">
      <c r="A94" s="27"/>
      <c r="B94" s="12"/>
      <c r="C94" s="12"/>
      <c r="D94" s="12"/>
      <c r="G94" s="17"/>
      <c r="H94" s="17"/>
    </row>
    <row r="95">
      <c r="A95" s="27"/>
      <c r="B95" s="12"/>
      <c r="C95" s="12"/>
      <c r="D95" s="12"/>
      <c r="G95" s="17"/>
      <c r="H95" s="17"/>
    </row>
    <row r="96">
      <c r="A96" s="27"/>
      <c r="B96" s="12"/>
      <c r="C96" s="12"/>
      <c r="D96" s="12"/>
      <c r="G96" s="17"/>
      <c r="H96" s="17"/>
    </row>
    <row r="97">
      <c r="A97" s="27"/>
      <c r="B97" s="12"/>
      <c r="C97" s="12"/>
      <c r="D97" s="12"/>
      <c r="G97" s="17"/>
      <c r="H97" s="17"/>
    </row>
    <row r="98">
      <c r="A98" s="27"/>
      <c r="B98" s="12"/>
      <c r="C98" s="12"/>
      <c r="D98" s="12"/>
      <c r="G98" s="17"/>
      <c r="H98" s="17"/>
    </row>
    <row r="99">
      <c r="A99" s="27"/>
      <c r="B99" s="12"/>
      <c r="C99" s="12"/>
      <c r="D99" s="12"/>
      <c r="G99" s="17"/>
      <c r="H99" s="17"/>
    </row>
    <row r="100">
      <c r="A100" s="27"/>
      <c r="B100" s="12"/>
      <c r="C100" s="12"/>
      <c r="D100" s="12"/>
      <c r="G100" s="17"/>
      <c r="H100" s="17"/>
    </row>
    <row r="101">
      <c r="A101" s="27"/>
      <c r="B101" s="12"/>
      <c r="C101" s="12"/>
      <c r="D101" s="12"/>
      <c r="G101" s="17"/>
      <c r="H101" s="17"/>
    </row>
    <row r="102">
      <c r="A102" s="27"/>
      <c r="B102" s="12"/>
      <c r="C102" s="12"/>
      <c r="D102" s="12"/>
      <c r="G102" s="17"/>
      <c r="H102" s="17"/>
    </row>
    <row r="103">
      <c r="A103" s="27"/>
      <c r="B103" s="12"/>
      <c r="C103" s="12"/>
      <c r="D103" s="12"/>
      <c r="G103" s="17"/>
      <c r="H103" s="17"/>
    </row>
    <row r="104">
      <c r="A104" s="27"/>
      <c r="B104" s="12"/>
      <c r="C104" s="12"/>
      <c r="D104" s="12"/>
      <c r="G104" s="17"/>
      <c r="H104" s="17"/>
    </row>
    <row r="105">
      <c r="A105" s="27"/>
      <c r="B105" s="12"/>
      <c r="C105" s="12"/>
      <c r="D105" s="12"/>
      <c r="G105" s="17"/>
      <c r="H105" s="17"/>
    </row>
    <row r="106">
      <c r="A106" s="27"/>
      <c r="B106" s="12"/>
      <c r="C106" s="12"/>
      <c r="D106" s="12"/>
      <c r="G106" s="17"/>
      <c r="H106" s="17"/>
    </row>
    <row r="107">
      <c r="A107" s="27"/>
      <c r="B107" s="12"/>
      <c r="C107" s="12"/>
      <c r="D107" s="12"/>
      <c r="G107" s="17"/>
      <c r="H107" s="17"/>
    </row>
    <row r="108">
      <c r="A108" s="27"/>
      <c r="B108" s="12"/>
      <c r="C108" s="12"/>
      <c r="D108" s="12"/>
      <c r="G108" s="17"/>
      <c r="H108" s="17"/>
    </row>
    <row r="109">
      <c r="A109" s="27"/>
      <c r="B109" s="12"/>
      <c r="C109" s="12"/>
      <c r="D109" s="12"/>
      <c r="G109" s="17"/>
      <c r="H109" s="17"/>
    </row>
    <row r="110">
      <c r="A110" s="27"/>
      <c r="B110" s="12"/>
      <c r="C110" s="12"/>
      <c r="D110" s="12"/>
      <c r="G110" s="17"/>
      <c r="H110" s="17"/>
    </row>
    <row r="111">
      <c r="A111" s="27"/>
      <c r="B111" s="12"/>
      <c r="C111" s="12"/>
      <c r="D111" s="12"/>
      <c r="G111" s="17"/>
      <c r="H111" s="17"/>
    </row>
    <row r="112">
      <c r="A112" s="27"/>
      <c r="B112" s="12"/>
      <c r="C112" s="12"/>
      <c r="D112" s="12"/>
      <c r="G112" s="17"/>
      <c r="H112" s="17"/>
    </row>
    <row r="113">
      <c r="A113" s="27"/>
      <c r="B113" s="12"/>
      <c r="C113" s="12"/>
      <c r="D113" s="12"/>
      <c r="G113" s="17"/>
      <c r="H113" s="17"/>
    </row>
    <row r="114">
      <c r="A114" s="27"/>
      <c r="B114" s="12"/>
      <c r="C114" s="12"/>
      <c r="D114" s="12"/>
      <c r="G114" s="17"/>
      <c r="H114" s="17"/>
    </row>
    <row r="115">
      <c r="A115" s="27"/>
      <c r="B115" s="12"/>
      <c r="C115" s="12"/>
      <c r="D115" s="12"/>
      <c r="G115" s="17"/>
      <c r="H115" s="17"/>
    </row>
    <row r="116">
      <c r="A116" s="27"/>
      <c r="B116" s="12"/>
      <c r="C116" s="12"/>
      <c r="D116" s="12"/>
      <c r="G116" s="17"/>
      <c r="H116" s="17"/>
    </row>
    <row r="117">
      <c r="A117" s="27"/>
      <c r="B117" s="12"/>
      <c r="C117" s="12"/>
      <c r="D117" s="12"/>
      <c r="G117" s="17"/>
      <c r="H117" s="17"/>
    </row>
    <row r="118">
      <c r="A118" s="27"/>
      <c r="B118" s="12"/>
      <c r="C118" s="12"/>
      <c r="D118" s="12"/>
      <c r="G118" s="17"/>
      <c r="H118" s="17"/>
    </row>
    <row r="119">
      <c r="A119" s="27"/>
      <c r="B119" s="12"/>
      <c r="C119" s="12"/>
      <c r="D119" s="12"/>
      <c r="G119" s="17"/>
      <c r="H119" s="17"/>
    </row>
    <row r="120">
      <c r="A120" s="27"/>
      <c r="B120" s="12"/>
      <c r="C120" s="12"/>
      <c r="D120" s="12"/>
      <c r="G120" s="17"/>
      <c r="H120" s="17"/>
    </row>
    <row r="121">
      <c r="A121" s="27"/>
      <c r="B121" s="12"/>
      <c r="C121" s="12"/>
      <c r="D121" s="12"/>
      <c r="G121" s="17"/>
      <c r="H121" s="17"/>
    </row>
    <row r="122">
      <c r="A122" s="27"/>
      <c r="B122" s="12"/>
      <c r="C122" s="12"/>
      <c r="D122" s="12"/>
      <c r="G122" s="17"/>
      <c r="H122" s="17"/>
    </row>
    <row r="123">
      <c r="A123" s="27"/>
      <c r="B123" s="12"/>
      <c r="C123" s="12"/>
      <c r="D123" s="12"/>
      <c r="G123" s="17"/>
      <c r="H123" s="17"/>
    </row>
    <row r="124">
      <c r="A124" s="27"/>
      <c r="B124" s="12"/>
      <c r="C124" s="12"/>
      <c r="D124" s="12"/>
      <c r="G124" s="17"/>
      <c r="H124" s="17"/>
    </row>
    <row r="125">
      <c r="A125" s="27"/>
      <c r="B125" s="12"/>
      <c r="C125" s="12"/>
      <c r="D125" s="12"/>
      <c r="G125" s="17"/>
      <c r="H125" s="17"/>
    </row>
    <row r="126">
      <c r="A126" s="27"/>
      <c r="B126" s="12"/>
      <c r="C126" s="12"/>
      <c r="D126" s="12"/>
      <c r="G126" s="17"/>
      <c r="H126" s="17"/>
    </row>
    <row r="127">
      <c r="A127" s="27"/>
      <c r="B127" s="12"/>
      <c r="C127" s="12"/>
      <c r="D127" s="12"/>
      <c r="G127" s="17"/>
      <c r="H127" s="17"/>
    </row>
    <row r="128">
      <c r="A128" s="27"/>
      <c r="B128" s="12"/>
      <c r="C128" s="12"/>
      <c r="D128" s="12"/>
      <c r="G128" s="17"/>
      <c r="H128" s="17"/>
    </row>
    <row r="129">
      <c r="A129" s="27"/>
      <c r="B129" s="12"/>
      <c r="C129" s="12"/>
      <c r="D129" s="12"/>
      <c r="G129" s="17"/>
      <c r="H129" s="17"/>
    </row>
    <row r="130">
      <c r="A130" s="27"/>
      <c r="B130" s="12"/>
      <c r="C130" s="12"/>
      <c r="D130" s="12"/>
      <c r="G130" s="17"/>
      <c r="H130" s="17"/>
    </row>
    <row r="131">
      <c r="A131" s="27"/>
      <c r="B131" s="12"/>
      <c r="C131" s="12"/>
      <c r="D131" s="12"/>
      <c r="G131" s="17"/>
      <c r="H131" s="17"/>
    </row>
    <row r="132">
      <c r="A132" s="27"/>
      <c r="B132" s="12"/>
      <c r="C132" s="12"/>
      <c r="D132" s="12"/>
      <c r="G132" s="17"/>
      <c r="H132" s="17"/>
    </row>
    <row r="133">
      <c r="A133" s="27"/>
      <c r="B133" s="12"/>
      <c r="C133" s="12"/>
      <c r="D133" s="12"/>
      <c r="G133" s="17"/>
      <c r="H133" s="17"/>
    </row>
    <row r="134">
      <c r="A134" s="27"/>
      <c r="B134" s="12"/>
      <c r="C134" s="12"/>
      <c r="D134" s="12"/>
      <c r="G134" s="17"/>
      <c r="H134" s="17"/>
    </row>
    <row r="135">
      <c r="A135" s="27"/>
      <c r="B135" s="12"/>
      <c r="C135" s="12"/>
      <c r="D135" s="12"/>
      <c r="G135" s="17"/>
      <c r="H135" s="17"/>
    </row>
    <row r="136">
      <c r="A136" s="27"/>
      <c r="B136" s="12"/>
      <c r="C136" s="12"/>
      <c r="D136" s="12"/>
      <c r="G136" s="17"/>
      <c r="H136" s="17"/>
    </row>
    <row r="137">
      <c r="A137" s="27"/>
      <c r="B137" s="12"/>
      <c r="C137" s="12"/>
      <c r="D137" s="12"/>
      <c r="G137" s="17"/>
      <c r="H137" s="17"/>
    </row>
    <row r="138">
      <c r="A138" s="27"/>
      <c r="B138" s="12"/>
      <c r="C138" s="12"/>
      <c r="D138" s="12"/>
      <c r="G138" s="17"/>
      <c r="H138" s="17"/>
    </row>
    <row r="139">
      <c r="A139" s="27"/>
      <c r="B139" s="12"/>
      <c r="C139" s="12"/>
      <c r="D139" s="12"/>
      <c r="G139" s="17"/>
      <c r="H139" s="17"/>
    </row>
    <row r="140">
      <c r="A140" s="27"/>
      <c r="B140" s="12"/>
      <c r="C140" s="12"/>
      <c r="D140" s="12"/>
      <c r="G140" s="17"/>
      <c r="H140" s="17"/>
    </row>
    <row r="141">
      <c r="A141" s="27"/>
      <c r="B141" s="12"/>
      <c r="C141" s="12"/>
      <c r="D141" s="12"/>
      <c r="G141" s="17"/>
      <c r="H141" s="17"/>
    </row>
    <row r="142">
      <c r="A142" s="27"/>
      <c r="B142" s="12"/>
      <c r="C142" s="12"/>
      <c r="D142" s="12"/>
      <c r="G142" s="17"/>
      <c r="H142" s="17"/>
    </row>
    <row r="143">
      <c r="A143" s="27"/>
      <c r="B143" s="12"/>
      <c r="C143" s="12"/>
      <c r="D143" s="12"/>
      <c r="G143" s="17"/>
      <c r="H143" s="17"/>
    </row>
    <row r="144">
      <c r="A144" s="27"/>
      <c r="B144" s="12"/>
      <c r="C144" s="12"/>
      <c r="D144" s="12"/>
      <c r="G144" s="17"/>
      <c r="H144" s="17"/>
    </row>
    <row r="145">
      <c r="A145" s="27"/>
      <c r="B145" s="12"/>
      <c r="C145" s="12"/>
      <c r="D145" s="12"/>
      <c r="G145" s="17"/>
      <c r="H145" s="17"/>
    </row>
    <row r="146">
      <c r="A146" s="27"/>
      <c r="B146" s="12"/>
      <c r="C146" s="12"/>
      <c r="D146" s="12"/>
      <c r="G146" s="17"/>
      <c r="H146" s="17"/>
    </row>
    <row r="147">
      <c r="A147" s="27"/>
      <c r="B147" s="12"/>
      <c r="C147" s="12"/>
      <c r="D147" s="12"/>
      <c r="G147" s="17"/>
      <c r="H147" s="17"/>
    </row>
    <row r="148">
      <c r="A148" s="27"/>
      <c r="B148" s="12"/>
      <c r="C148" s="12"/>
      <c r="D148" s="12"/>
      <c r="G148" s="17"/>
      <c r="H148" s="17"/>
    </row>
    <row r="149">
      <c r="A149" s="27"/>
      <c r="B149" s="12"/>
      <c r="C149" s="12"/>
      <c r="D149" s="12"/>
      <c r="G149" s="17"/>
      <c r="H149" s="17"/>
    </row>
    <row r="150">
      <c r="A150" s="27"/>
      <c r="B150" s="12"/>
      <c r="C150" s="12"/>
      <c r="D150" s="12"/>
      <c r="G150" s="17"/>
      <c r="H150" s="17"/>
    </row>
    <row r="151">
      <c r="A151" s="27"/>
      <c r="B151" s="12"/>
      <c r="C151" s="12"/>
      <c r="D151" s="12"/>
      <c r="G151" s="17"/>
      <c r="H151" s="17"/>
    </row>
    <row r="152">
      <c r="A152" s="27"/>
      <c r="B152" s="12"/>
      <c r="C152" s="12"/>
      <c r="D152" s="12"/>
      <c r="G152" s="17"/>
      <c r="H152" s="17"/>
    </row>
    <row r="153">
      <c r="A153" s="27"/>
      <c r="B153" s="12"/>
      <c r="C153" s="12"/>
      <c r="D153" s="12"/>
      <c r="G153" s="17"/>
      <c r="H153" s="17"/>
    </row>
    <row r="154">
      <c r="A154" s="27"/>
      <c r="B154" s="12"/>
      <c r="C154" s="12"/>
      <c r="D154" s="12"/>
      <c r="G154" s="17"/>
      <c r="H154" s="17"/>
    </row>
    <row r="155">
      <c r="A155" s="27"/>
      <c r="B155" s="12"/>
      <c r="C155" s="12"/>
      <c r="D155" s="12"/>
      <c r="G155" s="17"/>
      <c r="H155" s="17"/>
    </row>
    <row r="156">
      <c r="A156" s="27"/>
      <c r="B156" s="12"/>
      <c r="C156" s="12"/>
      <c r="D156" s="12"/>
      <c r="G156" s="17"/>
      <c r="H156" s="17"/>
    </row>
    <row r="157">
      <c r="A157" s="27"/>
      <c r="B157" s="12"/>
      <c r="C157" s="12"/>
      <c r="D157" s="12"/>
      <c r="G157" s="17"/>
      <c r="H157" s="17"/>
    </row>
    <row r="158">
      <c r="A158" s="27"/>
      <c r="B158" s="12"/>
      <c r="C158" s="12"/>
      <c r="D158" s="12"/>
      <c r="G158" s="17"/>
      <c r="H158" s="17"/>
    </row>
    <row r="159">
      <c r="A159" s="27"/>
      <c r="B159" s="12"/>
      <c r="C159" s="12"/>
      <c r="D159" s="12"/>
      <c r="G159" s="17"/>
      <c r="H159" s="17"/>
    </row>
    <row r="160">
      <c r="A160" s="27"/>
      <c r="B160" s="12"/>
      <c r="C160" s="12"/>
      <c r="D160" s="12"/>
      <c r="G160" s="17"/>
      <c r="H160" s="17"/>
    </row>
    <row r="161">
      <c r="A161" s="27"/>
      <c r="B161" s="12"/>
      <c r="C161" s="12"/>
      <c r="D161" s="12"/>
      <c r="G161" s="17"/>
      <c r="H161" s="17"/>
    </row>
    <row r="162">
      <c r="A162" s="27"/>
      <c r="B162" s="12"/>
      <c r="C162" s="12"/>
      <c r="D162" s="12"/>
      <c r="G162" s="17"/>
      <c r="H162" s="17"/>
    </row>
    <row r="163">
      <c r="A163" s="27"/>
      <c r="B163" s="12"/>
      <c r="C163" s="12"/>
      <c r="D163" s="12"/>
      <c r="G163" s="17"/>
      <c r="H163" s="17"/>
    </row>
    <row r="164">
      <c r="A164" s="27"/>
      <c r="B164" s="12"/>
      <c r="C164" s="12"/>
      <c r="D164" s="12"/>
      <c r="G164" s="17"/>
      <c r="H164" s="17"/>
    </row>
    <row r="165">
      <c r="A165" s="27"/>
      <c r="B165" s="12"/>
      <c r="C165" s="12"/>
      <c r="D165" s="12"/>
      <c r="G165" s="17"/>
      <c r="H165" s="17"/>
    </row>
    <row r="166">
      <c r="A166" s="27"/>
      <c r="B166" s="12"/>
      <c r="C166" s="12"/>
      <c r="D166" s="12"/>
      <c r="G166" s="17"/>
      <c r="H166" s="17"/>
    </row>
    <row r="167">
      <c r="A167" s="27"/>
      <c r="B167" s="12"/>
      <c r="C167" s="12"/>
      <c r="D167" s="12"/>
      <c r="G167" s="17"/>
      <c r="H167" s="17"/>
    </row>
    <row r="168">
      <c r="A168" s="27"/>
      <c r="B168" s="12"/>
      <c r="C168" s="12"/>
      <c r="D168" s="12"/>
      <c r="G168" s="17"/>
      <c r="H168" s="17"/>
    </row>
    <row r="169">
      <c r="A169" s="27"/>
      <c r="B169" s="12"/>
      <c r="C169" s="12"/>
      <c r="D169" s="12"/>
      <c r="G169" s="17"/>
      <c r="H169" s="17"/>
    </row>
    <row r="170">
      <c r="A170" s="27"/>
      <c r="B170" s="12"/>
      <c r="C170" s="12"/>
      <c r="D170" s="12"/>
      <c r="G170" s="17"/>
      <c r="H170" s="17"/>
    </row>
    <row r="171">
      <c r="A171" s="27"/>
      <c r="B171" s="12"/>
      <c r="C171" s="12"/>
      <c r="D171" s="12"/>
      <c r="G171" s="17"/>
      <c r="H171" s="17"/>
    </row>
    <row r="172">
      <c r="A172" s="27"/>
      <c r="B172" s="12"/>
      <c r="C172" s="12"/>
      <c r="D172" s="12"/>
      <c r="G172" s="17"/>
      <c r="H172" s="17"/>
    </row>
    <row r="173">
      <c r="A173" s="27"/>
      <c r="B173" s="12"/>
      <c r="C173" s="12"/>
      <c r="D173" s="12"/>
      <c r="G173" s="17"/>
      <c r="H173" s="17"/>
    </row>
    <row r="174">
      <c r="A174" s="27"/>
      <c r="B174" s="12"/>
      <c r="C174" s="12"/>
      <c r="D174" s="12"/>
      <c r="G174" s="17"/>
      <c r="H174" s="17"/>
    </row>
    <row r="175">
      <c r="A175" s="27"/>
      <c r="B175" s="12"/>
      <c r="C175" s="12"/>
      <c r="D175" s="12"/>
      <c r="G175" s="17"/>
      <c r="H175" s="17"/>
    </row>
    <row r="176">
      <c r="A176" s="27"/>
      <c r="B176" s="12"/>
      <c r="C176" s="12"/>
      <c r="D176" s="12"/>
      <c r="G176" s="17"/>
      <c r="H176" s="17"/>
    </row>
    <row r="177">
      <c r="A177" s="27"/>
      <c r="B177" s="12"/>
      <c r="C177" s="12"/>
      <c r="D177" s="12"/>
      <c r="G177" s="17"/>
      <c r="H177" s="17"/>
    </row>
    <row r="178">
      <c r="A178" s="27"/>
      <c r="B178" s="12"/>
      <c r="C178" s="12"/>
      <c r="D178" s="12"/>
      <c r="G178" s="17"/>
      <c r="H178" s="17"/>
    </row>
    <row r="179">
      <c r="A179" s="27"/>
      <c r="B179" s="12"/>
      <c r="C179" s="12"/>
      <c r="D179" s="12"/>
      <c r="G179" s="17"/>
      <c r="H179" s="17"/>
    </row>
    <row r="180">
      <c r="A180" s="27"/>
      <c r="B180" s="12"/>
      <c r="C180" s="12"/>
      <c r="D180" s="12"/>
      <c r="G180" s="17"/>
      <c r="H180" s="17"/>
    </row>
    <row r="181">
      <c r="A181" s="27"/>
      <c r="B181" s="12"/>
      <c r="C181" s="12"/>
      <c r="D181" s="12"/>
      <c r="G181" s="17"/>
      <c r="H181" s="17"/>
    </row>
    <row r="182">
      <c r="A182" s="27"/>
      <c r="B182" s="12"/>
      <c r="C182" s="12"/>
      <c r="D182" s="12"/>
      <c r="G182" s="17"/>
      <c r="H182" s="17"/>
    </row>
    <row r="183">
      <c r="A183" s="27"/>
      <c r="B183" s="12"/>
      <c r="C183" s="12"/>
      <c r="D183" s="12"/>
      <c r="G183" s="17"/>
      <c r="H183" s="17"/>
    </row>
    <row r="184">
      <c r="A184" s="27"/>
      <c r="B184" s="12"/>
      <c r="C184" s="12"/>
      <c r="D184" s="12"/>
      <c r="G184" s="17"/>
      <c r="H184" s="17"/>
    </row>
    <row r="185">
      <c r="A185" s="27"/>
      <c r="B185" s="12"/>
      <c r="C185" s="12"/>
      <c r="D185" s="12"/>
      <c r="G185" s="17"/>
      <c r="H185" s="17"/>
    </row>
    <row r="186">
      <c r="A186" s="27"/>
      <c r="B186" s="12"/>
      <c r="C186" s="12"/>
      <c r="D186" s="12"/>
      <c r="G186" s="17"/>
      <c r="H186" s="17"/>
    </row>
    <row r="187">
      <c r="A187" s="27"/>
      <c r="B187" s="12"/>
      <c r="C187" s="12"/>
      <c r="D187" s="12"/>
      <c r="G187" s="17"/>
      <c r="H187" s="17"/>
    </row>
    <row r="188">
      <c r="A188" s="27"/>
      <c r="B188" s="12"/>
      <c r="C188" s="12"/>
      <c r="D188" s="12"/>
      <c r="G188" s="17"/>
      <c r="H188" s="17"/>
    </row>
    <row r="189">
      <c r="A189" s="27"/>
      <c r="B189" s="12"/>
      <c r="C189" s="12"/>
      <c r="D189" s="12"/>
      <c r="G189" s="17"/>
      <c r="H189" s="17"/>
    </row>
    <row r="190">
      <c r="A190" s="27"/>
      <c r="B190" s="12"/>
      <c r="C190" s="12"/>
      <c r="D190" s="12"/>
      <c r="G190" s="17"/>
      <c r="H190" s="17"/>
    </row>
    <row r="191">
      <c r="A191" s="27"/>
      <c r="B191" s="12"/>
      <c r="C191" s="12"/>
      <c r="D191" s="12"/>
      <c r="G191" s="17"/>
      <c r="H191" s="17"/>
    </row>
    <row r="192">
      <c r="A192" s="27"/>
      <c r="B192" s="12"/>
      <c r="C192" s="12"/>
      <c r="D192" s="12"/>
      <c r="G192" s="17"/>
      <c r="H192" s="17"/>
    </row>
    <row r="193">
      <c r="A193" s="27"/>
      <c r="B193" s="12"/>
      <c r="C193" s="12"/>
      <c r="D193" s="12"/>
      <c r="G193" s="17"/>
      <c r="H193" s="17"/>
    </row>
    <row r="194">
      <c r="A194" s="27"/>
      <c r="B194" s="12"/>
      <c r="C194" s="12"/>
      <c r="D194" s="12"/>
      <c r="G194" s="17"/>
      <c r="H194" s="17"/>
    </row>
    <row r="195">
      <c r="A195" s="27"/>
      <c r="B195" s="12"/>
      <c r="C195" s="12"/>
      <c r="D195" s="12"/>
      <c r="G195" s="17"/>
      <c r="H195" s="17"/>
    </row>
    <row r="196">
      <c r="A196" s="27"/>
      <c r="B196" s="12"/>
      <c r="C196" s="12"/>
      <c r="D196" s="12"/>
      <c r="G196" s="17"/>
      <c r="H196" s="17"/>
    </row>
    <row r="197">
      <c r="A197" s="27"/>
      <c r="B197" s="12"/>
      <c r="C197" s="12"/>
      <c r="D197" s="12"/>
      <c r="G197" s="17"/>
      <c r="H197" s="17"/>
    </row>
    <row r="198">
      <c r="A198" s="27"/>
      <c r="B198" s="12"/>
      <c r="C198" s="12"/>
      <c r="D198" s="12"/>
      <c r="G198" s="17"/>
      <c r="H198" s="17"/>
    </row>
    <row r="199">
      <c r="A199" s="27"/>
      <c r="B199" s="12"/>
      <c r="C199" s="12"/>
      <c r="D199" s="12"/>
      <c r="G199" s="17"/>
      <c r="H199" s="17"/>
    </row>
    <row r="200">
      <c r="A200" s="27"/>
      <c r="B200" s="12"/>
      <c r="C200" s="12"/>
      <c r="D200" s="12"/>
      <c r="G200" s="17"/>
      <c r="H200" s="17"/>
    </row>
    <row r="201">
      <c r="A201" s="27"/>
      <c r="B201" s="12"/>
      <c r="C201" s="12"/>
      <c r="D201" s="12"/>
      <c r="G201" s="17"/>
      <c r="H201" s="17"/>
    </row>
    <row r="202">
      <c r="A202" s="27"/>
      <c r="B202" s="12"/>
      <c r="C202" s="12"/>
      <c r="D202" s="12"/>
      <c r="G202" s="17"/>
      <c r="H202" s="17"/>
    </row>
    <row r="203">
      <c r="A203" s="27"/>
      <c r="B203" s="12"/>
      <c r="C203" s="12"/>
      <c r="D203" s="12"/>
      <c r="G203" s="17"/>
      <c r="H203" s="17"/>
    </row>
    <row r="204">
      <c r="A204" s="27"/>
      <c r="B204" s="12"/>
      <c r="C204" s="12"/>
      <c r="D204" s="12"/>
      <c r="G204" s="17"/>
      <c r="H204" s="17"/>
    </row>
    <row r="205">
      <c r="A205" s="27"/>
      <c r="B205" s="12"/>
      <c r="C205" s="12"/>
      <c r="D205" s="12"/>
      <c r="G205" s="17"/>
      <c r="H205" s="17"/>
    </row>
    <row r="206">
      <c r="A206" s="27"/>
      <c r="B206" s="12"/>
      <c r="C206" s="12"/>
      <c r="D206" s="12"/>
      <c r="G206" s="17"/>
      <c r="H206" s="17"/>
    </row>
    <row r="207">
      <c r="A207" s="27"/>
      <c r="B207" s="12"/>
      <c r="C207" s="12"/>
      <c r="D207" s="12"/>
      <c r="G207" s="17"/>
      <c r="H207" s="17"/>
    </row>
    <row r="208">
      <c r="A208" s="27"/>
      <c r="B208" s="12"/>
      <c r="C208" s="12"/>
      <c r="D208" s="12"/>
      <c r="G208" s="17"/>
      <c r="H208" s="17"/>
    </row>
    <row r="209">
      <c r="A209" s="27"/>
      <c r="B209" s="12"/>
      <c r="C209" s="12"/>
      <c r="D209" s="12"/>
      <c r="G209" s="17"/>
      <c r="H209" s="17"/>
    </row>
    <row r="210">
      <c r="A210" s="27"/>
      <c r="B210" s="12"/>
      <c r="C210" s="12"/>
      <c r="D210" s="12"/>
      <c r="G210" s="17"/>
      <c r="H210" s="17"/>
    </row>
    <row r="211">
      <c r="A211" s="27"/>
      <c r="B211" s="12"/>
      <c r="C211" s="12"/>
      <c r="D211" s="12"/>
      <c r="G211" s="17"/>
      <c r="H211" s="17"/>
    </row>
    <row r="212">
      <c r="A212" s="27"/>
      <c r="B212" s="12"/>
      <c r="C212" s="12"/>
      <c r="D212" s="12"/>
      <c r="G212" s="17"/>
      <c r="H212" s="17"/>
    </row>
    <row r="213">
      <c r="A213" s="27"/>
      <c r="B213" s="12"/>
      <c r="C213" s="12"/>
      <c r="D213" s="12"/>
      <c r="G213" s="17"/>
      <c r="H213" s="17"/>
    </row>
    <row r="214">
      <c r="A214" s="27"/>
      <c r="B214" s="12"/>
      <c r="C214" s="12"/>
      <c r="D214" s="12"/>
      <c r="G214" s="17"/>
      <c r="H214" s="17"/>
    </row>
    <row r="215">
      <c r="A215" s="27"/>
      <c r="B215" s="12"/>
      <c r="C215" s="12"/>
      <c r="D215" s="12"/>
      <c r="G215" s="17"/>
      <c r="H215" s="17"/>
    </row>
    <row r="216">
      <c r="A216" s="27"/>
      <c r="B216" s="12"/>
      <c r="C216" s="12"/>
      <c r="D216" s="12"/>
      <c r="G216" s="17"/>
      <c r="H216" s="17"/>
    </row>
    <row r="217">
      <c r="A217" s="27"/>
      <c r="B217" s="12"/>
      <c r="C217" s="12"/>
      <c r="D217" s="12"/>
      <c r="G217" s="17"/>
      <c r="H217" s="17"/>
    </row>
    <row r="218">
      <c r="A218" s="27"/>
      <c r="B218" s="12"/>
      <c r="C218" s="12"/>
      <c r="D218" s="12"/>
      <c r="G218" s="17"/>
      <c r="H218" s="17"/>
    </row>
    <row r="219">
      <c r="A219" s="27"/>
      <c r="B219" s="12"/>
      <c r="C219" s="12"/>
      <c r="D219" s="12"/>
      <c r="G219" s="17"/>
      <c r="H219" s="17"/>
    </row>
    <row r="220">
      <c r="A220" s="27"/>
      <c r="B220" s="12"/>
      <c r="C220" s="12"/>
      <c r="D220" s="12"/>
      <c r="G220" s="17"/>
      <c r="H220" s="17"/>
    </row>
    <row r="221">
      <c r="A221" s="27"/>
      <c r="B221" s="12"/>
      <c r="C221" s="12"/>
      <c r="D221" s="12"/>
      <c r="G221" s="17"/>
      <c r="H221" s="17"/>
    </row>
    <row r="222">
      <c r="A222" s="27"/>
      <c r="B222" s="12"/>
      <c r="C222" s="12"/>
      <c r="D222" s="12"/>
      <c r="G222" s="17"/>
      <c r="H222" s="17"/>
    </row>
    <row r="223">
      <c r="A223" s="27"/>
      <c r="B223" s="12"/>
      <c r="C223" s="12"/>
      <c r="D223" s="12"/>
      <c r="G223" s="17"/>
      <c r="H223" s="17"/>
    </row>
    <row r="224">
      <c r="A224" s="27"/>
      <c r="B224" s="12"/>
      <c r="C224" s="12"/>
      <c r="D224" s="12"/>
      <c r="G224" s="17"/>
      <c r="H224" s="17"/>
    </row>
    <row r="225">
      <c r="A225" s="27"/>
      <c r="B225" s="12"/>
      <c r="C225" s="12"/>
      <c r="D225" s="12"/>
      <c r="G225" s="17"/>
      <c r="H225" s="17"/>
    </row>
    <row r="226">
      <c r="A226" s="27"/>
      <c r="B226" s="12"/>
      <c r="C226" s="12"/>
      <c r="D226" s="12"/>
      <c r="G226" s="17"/>
      <c r="H226" s="17"/>
    </row>
    <row r="227">
      <c r="A227" s="27"/>
      <c r="B227" s="12"/>
      <c r="C227" s="12"/>
      <c r="D227" s="12"/>
      <c r="G227" s="17"/>
      <c r="H227" s="17"/>
    </row>
    <row r="228">
      <c r="A228" s="27"/>
      <c r="B228" s="12"/>
      <c r="C228" s="12"/>
      <c r="D228" s="12"/>
      <c r="G228" s="17"/>
      <c r="H228" s="17"/>
    </row>
    <row r="229">
      <c r="A229" s="27"/>
      <c r="B229" s="12"/>
      <c r="C229" s="12"/>
      <c r="D229" s="12"/>
      <c r="G229" s="17"/>
      <c r="H229" s="17"/>
    </row>
    <row r="230">
      <c r="A230" s="27"/>
      <c r="B230" s="12"/>
      <c r="C230" s="12"/>
      <c r="D230" s="12"/>
      <c r="G230" s="17"/>
      <c r="H230" s="17"/>
    </row>
    <row r="231">
      <c r="A231" s="27"/>
      <c r="B231" s="12"/>
      <c r="C231" s="12"/>
      <c r="D231" s="12"/>
      <c r="G231" s="17"/>
      <c r="H231" s="17"/>
    </row>
    <row r="232">
      <c r="A232" s="27"/>
      <c r="B232" s="12"/>
      <c r="C232" s="12"/>
      <c r="D232" s="12"/>
      <c r="G232" s="17"/>
      <c r="H232" s="17"/>
    </row>
    <row r="233">
      <c r="A233" s="27"/>
      <c r="B233" s="12"/>
      <c r="C233" s="12"/>
      <c r="D233" s="12"/>
      <c r="G233" s="17"/>
      <c r="H233" s="17"/>
    </row>
    <row r="234">
      <c r="A234" s="27"/>
      <c r="B234" s="12"/>
      <c r="C234" s="12"/>
      <c r="D234" s="12"/>
      <c r="G234" s="17"/>
      <c r="H234" s="17"/>
    </row>
    <row r="235">
      <c r="A235" s="27"/>
      <c r="B235" s="12"/>
      <c r="C235" s="12"/>
      <c r="D235" s="12"/>
      <c r="G235" s="17"/>
      <c r="H235" s="17"/>
    </row>
    <row r="236">
      <c r="A236" s="27"/>
      <c r="B236" s="12"/>
      <c r="C236" s="12"/>
      <c r="D236" s="12"/>
      <c r="G236" s="17"/>
      <c r="H236" s="17"/>
    </row>
    <row r="237">
      <c r="A237" s="27"/>
      <c r="B237" s="12"/>
      <c r="C237" s="12"/>
      <c r="D237" s="12"/>
      <c r="G237" s="17"/>
      <c r="H237" s="17"/>
    </row>
    <row r="238">
      <c r="A238" s="27"/>
      <c r="B238" s="12"/>
      <c r="C238" s="12"/>
      <c r="D238" s="12"/>
      <c r="G238" s="17"/>
      <c r="H238" s="17"/>
    </row>
    <row r="239">
      <c r="A239" s="27"/>
      <c r="B239" s="12"/>
      <c r="C239" s="12"/>
      <c r="D239" s="12"/>
      <c r="G239" s="17"/>
      <c r="H239" s="17"/>
    </row>
    <row r="240">
      <c r="A240" s="27"/>
      <c r="B240" s="12"/>
      <c r="C240" s="12"/>
      <c r="D240" s="12"/>
      <c r="G240" s="17"/>
      <c r="H240" s="17"/>
    </row>
    <row r="241">
      <c r="A241" s="27"/>
      <c r="B241" s="12"/>
      <c r="C241" s="12"/>
      <c r="D241" s="12"/>
      <c r="G241" s="17"/>
      <c r="H241" s="17"/>
    </row>
    <row r="242">
      <c r="A242" s="27"/>
      <c r="B242" s="12"/>
      <c r="C242" s="12"/>
      <c r="D242" s="12"/>
      <c r="G242" s="17"/>
      <c r="H242" s="17"/>
    </row>
    <row r="243">
      <c r="A243" s="27"/>
      <c r="B243" s="12"/>
      <c r="C243" s="12"/>
      <c r="D243" s="12"/>
      <c r="G243" s="17"/>
      <c r="H243" s="17"/>
    </row>
    <row r="244">
      <c r="A244" s="27"/>
      <c r="B244" s="12"/>
      <c r="C244" s="12"/>
      <c r="D244" s="12"/>
      <c r="G244" s="17"/>
      <c r="H244" s="17"/>
    </row>
    <row r="245">
      <c r="A245" s="27"/>
      <c r="B245" s="12"/>
      <c r="C245" s="12"/>
      <c r="D245" s="12"/>
      <c r="G245" s="17"/>
      <c r="H245" s="17"/>
    </row>
    <row r="246">
      <c r="A246" s="27"/>
      <c r="B246" s="12"/>
      <c r="C246" s="12"/>
      <c r="D246" s="12"/>
      <c r="G246" s="17"/>
      <c r="H246" s="17"/>
    </row>
    <row r="247">
      <c r="A247" s="27"/>
      <c r="B247" s="12"/>
      <c r="C247" s="12"/>
      <c r="D247" s="12"/>
      <c r="G247" s="17"/>
      <c r="H247" s="17"/>
    </row>
    <row r="248">
      <c r="A248" s="27"/>
      <c r="B248" s="12"/>
      <c r="C248" s="12"/>
      <c r="D248" s="12"/>
      <c r="G248" s="17"/>
      <c r="H248" s="17"/>
    </row>
    <row r="249">
      <c r="A249" s="27"/>
      <c r="B249" s="12"/>
      <c r="C249" s="12"/>
      <c r="D249" s="12"/>
      <c r="G249" s="17"/>
      <c r="H249" s="17"/>
    </row>
    <row r="250">
      <c r="A250" s="27"/>
      <c r="B250" s="12"/>
      <c r="C250" s="12"/>
      <c r="D250" s="12"/>
      <c r="G250" s="17"/>
      <c r="H250" s="17"/>
    </row>
    <row r="251">
      <c r="A251" s="27"/>
      <c r="B251" s="12"/>
      <c r="C251" s="12"/>
      <c r="D251" s="12"/>
      <c r="G251" s="17"/>
      <c r="H251" s="17"/>
    </row>
    <row r="252">
      <c r="A252" s="27"/>
      <c r="B252" s="12"/>
      <c r="C252" s="12"/>
      <c r="D252" s="12"/>
      <c r="G252" s="17"/>
      <c r="H252" s="17"/>
    </row>
    <row r="253">
      <c r="A253" s="27"/>
      <c r="B253" s="12"/>
      <c r="C253" s="12"/>
      <c r="D253" s="12"/>
      <c r="G253" s="17"/>
      <c r="H253" s="17"/>
    </row>
    <row r="254">
      <c r="A254" s="27"/>
      <c r="B254" s="12"/>
      <c r="C254" s="12"/>
      <c r="D254" s="12"/>
      <c r="G254" s="17"/>
      <c r="H254" s="17"/>
    </row>
    <row r="255">
      <c r="A255" s="27"/>
      <c r="B255" s="12"/>
      <c r="C255" s="12"/>
      <c r="D255" s="12"/>
      <c r="G255" s="17"/>
      <c r="H255" s="17"/>
    </row>
    <row r="256">
      <c r="A256" s="27"/>
      <c r="B256" s="12"/>
      <c r="C256" s="12"/>
      <c r="D256" s="12"/>
      <c r="G256" s="17"/>
      <c r="H256" s="17"/>
    </row>
    <row r="257">
      <c r="A257" s="27"/>
      <c r="B257" s="12"/>
      <c r="C257" s="12"/>
      <c r="D257" s="12"/>
      <c r="G257" s="17"/>
      <c r="H257" s="17"/>
    </row>
    <row r="258">
      <c r="A258" s="27"/>
      <c r="B258" s="12"/>
      <c r="C258" s="12"/>
      <c r="D258" s="12"/>
      <c r="G258" s="17"/>
      <c r="H258" s="17"/>
    </row>
    <row r="259">
      <c r="A259" s="27"/>
      <c r="B259" s="12"/>
      <c r="C259" s="12"/>
      <c r="D259" s="12"/>
      <c r="G259" s="17"/>
      <c r="H259" s="17"/>
    </row>
    <row r="260">
      <c r="A260" s="27"/>
      <c r="B260" s="12"/>
      <c r="C260" s="12"/>
      <c r="D260" s="12"/>
      <c r="G260" s="17"/>
      <c r="H260" s="17"/>
    </row>
    <row r="261">
      <c r="A261" s="27"/>
      <c r="B261" s="12"/>
      <c r="C261" s="12"/>
      <c r="D261" s="12"/>
      <c r="G261" s="17"/>
      <c r="H261" s="17"/>
    </row>
    <row r="262">
      <c r="A262" s="27"/>
      <c r="B262" s="12"/>
      <c r="C262" s="12"/>
      <c r="D262" s="12"/>
      <c r="G262" s="17"/>
      <c r="H262" s="17"/>
    </row>
    <row r="263">
      <c r="A263" s="27"/>
      <c r="B263" s="12"/>
      <c r="C263" s="12"/>
      <c r="D263" s="12"/>
      <c r="G263" s="17"/>
      <c r="H263" s="17"/>
    </row>
    <row r="264">
      <c r="A264" s="27"/>
      <c r="B264" s="12"/>
      <c r="C264" s="12"/>
      <c r="D264" s="12"/>
      <c r="G264" s="17"/>
      <c r="H264" s="17"/>
    </row>
    <row r="265">
      <c r="A265" s="27"/>
      <c r="B265" s="12"/>
      <c r="C265" s="12"/>
      <c r="D265" s="12"/>
      <c r="G265" s="17"/>
      <c r="H265" s="17"/>
    </row>
    <row r="266">
      <c r="A266" s="27"/>
      <c r="B266" s="12"/>
      <c r="C266" s="12"/>
      <c r="D266" s="12"/>
      <c r="G266" s="17"/>
      <c r="H266" s="17"/>
    </row>
    <row r="267">
      <c r="A267" s="27"/>
      <c r="B267" s="12"/>
      <c r="C267" s="12"/>
      <c r="D267" s="12"/>
      <c r="G267" s="17"/>
      <c r="H267" s="17"/>
    </row>
    <row r="268">
      <c r="A268" s="27"/>
      <c r="B268" s="12"/>
      <c r="C268" s="12"/>
      <c r="D268" s="12"/>
      <c r="G268" s="17"/>
      <c r="H268" s="17"/>
    </row>
    <row r="269">
      <c r="A269" s="27"/>
      <c r="B269" s="12"/>
      <c r="C269" s="12"/>
      <c r="D269" s="12"/>
      <c r="G269" s="17"/>
      <c r="H269" s="17"/>
    </row>
    <row r="270">
      <c r="A270" s="27"/>
      <c r="B270" s="12"/>
      <c r="C270" s="12"/>
      <c r="D270" s="12"/>
      <c r="G270" s="17"/>
      <c r="H270" s="17"/>
    </row>
    <row r="271">
      <c r="A271" s="27"/>
      <c r="B271" s="12"/>
      <c r="C271" s="12"/>
      <c r="D271" s="12"/>
      <c r="G271" s="17"/>
      <c r="H271" s="17"/>
    </row>
    <row r="272">
      <c r="A272" s="27"/>
      <c r="B272" s="12"/>
      <c r="C272" s="12"/>
      <c r="D272" s="12"/>
      <c r="G272" s="17"/>
      <c r="H272" s="17"/>
    </row>
    <row r="273">
      <c r="A273" s="27"/>
      <c r="B273" s="12"/>
      <c r="C273" s="12"/>
      <c r="D273" s="12"/>
      <c r="G273" s="17"/>
      <c r="H273" s="17"/>
    </row>
    <row r="274">
      <c r="A274" s="27"/>
      <c r="B274" s="12"/>
      <c r="C274" s="12"/>
      <c r="D274" s="12"/>
      <c r="G274" s="17"/>
      <c r="H274" s="17"/>
    </row>
    <row r="275">
      <c r="A275" s="27"/>
      <c r="B275" s="12"/>
      <c r="C275" s="12"/>
      <c r="D275" s="12"/>
      <c r="G275" s="17"/>
      <c r="H275" s="17"/>
    </row>
    <row r="276">
      <c r="A276" s="27"/>
      <c r="B276" s="12"/>
      <c r="C276" s="12"/>
      <c r="D276" s="12"/>
      <c r="G276" s="17"/>
      <c r="H276" s="17"/>
    </row>
    <row r="277">
      <c r="A277" s="27"/>
      <c r="B277" s="12"/>
      <c r="C277" s="12"/>
      <c r="D277" s="12"/>
      <c r="G277" s="17"/>
      <c r="H277" s="17"/>
    </row>
    <row r="278">
      <c r="A278" s="27"/>
      <c r="B278" s="12"/>
      <c r="C278" s="12"/>
      <c r="D278" s="12"/>
      <c r="G278" s="17"/>
      <c r="H278" s="17"/>
    </row>
    <row r="279">
      <c r="A279" s="27"/>
      <c r="B279" s="12"/>
      <c r="C279" s="12"/>
      <c r="D279" s="12"/>
      <c r="G279" s="17"/>
      <c r="H279" s="17"/>
    </row>
    <row r="280">
      <c r="A280" s="27"/>
      <c r="B280" s="12"/>
      <c r="C280" s="12"/>
      <c r="D280" s="12"/>
      <c r="G280" s="17"/>
      <c r="H280" s="17"/>
    </row>
    <row r="281">
      <c r="A281" s="27"/>
      <c r="B281" s="12"/>
      <c r="C281" s="12"/>
      <c r="D281" s="12"/>
      <c r="G281" s="17"/>
      <c r="H281" s="17"/>
    </row>
    <row r="282">
      <c r="A282" s="27"/>
      <c r="B282" s="12"/>
      <c r="C282" s="12"/>
      <c r="D282" s="12"/>
      <c r="G282" s="17"/>
      <c r="H282" s="17"/>
    </row>
    <row r="283">
      <c r="A283" s="27"/>
      <c r="B283" s="12"/>
      <c r="C283" s="12"/>
      <c r="D283" s="12"/>
      <c r="G283" s="17"/>
      <c r="H283" s="17"/>
    </row>
    <row r="284">
      <c r="A284" s="27"/>
      <c r="B284" s="12"/>
      <c r="C284" s="12"/>
      <c r="D284" s="12"/>
      <c r="G284" s="17"/>
      <c r="H284" s="17"/>
    </row>
    <row r="285">
      <c r="A285" s="27"/>
      <c r="B285" s="12"/>
      <c r="C285" s="12"/>
      <c r="D285" s="12"/>
      <c r="G285" s="17"/>
      <c r="H285" s="17"/>
    </row>
    <row r="286">
      <c r="A286" s="27"/>
      <c r="B286" s="12"/>
      <c r="C286" s="12"/>
      <c r="D286" s="12"/>
      <c r="G286" s="17"/>
      <c r="H286" s="17"/>
    </row>
    <row r="287">
      <c r="A287" s="27"/>
      <c r="B287" s="12"/>
      <c r="C287" s="12"/>
      <c r="D287" s="12"/>
      <c r="G287" s="17"/>
      <c r="H287" s="17"/>
    </row>
    <row r="288">
      <c r="A288" s="27"/>
      <c r="B288" s="12"/>
      <c r="C288" s="12"/>
      <c r="D288" s="12"/>
      <c r="G288" s="17"/>
      <c r="H288" s="17"/>
    </row>
    <row r="289">
      <c r="A289" s="27"/>
      <c r="B289" s="12"/>
      <c r="C289" s="12"/>
      <c r="D289" s="12"/>
      <c r="G289" s="17"/>
      <c r="H289" s="17"/>
    </row>
    <row r="290">
      <c r="A290" s="27"/>
      <c r="B290" s="12"/>
      <c r="C290" s="12"/>
      <c r="D290" s="12"/>
      <c r="G290" s="17"/>
      <c r="H290" s="17"/>
    </row>
    <row r="291">
      <c r="A291" s="27"/>
      <c r="B291" s="12"/>
      <c r="C291" s="12"/>
      <c r="D291" s="12"/>
      <c r="G291" s="17"/>
      <c r="H291" s="17"/>
    </row>
    <row r="292">
      <c r="A292" s="27"/>
      <c r="B292" s="12"/>
      <c r="C292" s="12"/>
      <c r="D292" s="12"/>
      <c r="G292" s="17"/>
      <c r="H292" s="17"/>
    </row>
    <row r="293">
      <c r="A293" s="27"/>
      <c r="B293" s="12"/>
      <c r="C293" s="12"/>
      <c r="D293" s="12"/>
      <c r="G293" s="17"/>
      <c r="H293" s="17"/>
    </row>
    <row r="294">
      <c r="A294" s="27"/>
      <c r="B294" s="12"/>
      <c r="C294" s="12"/>
      <c r="D294" s="12"/>
      <c r="G294" s="17"/>
      <c r="H294" s="17"/>
    </row>
    <row r="295">
      <c r="A295" s="27"/>
      <c r="B295" s="12"/>
      <c r="C295" s="12"/>
      <c r="D295" s="12"/>
      <c r="G295" s="17"/>
      <c r="H295" s="17"/>
    </row>
    <row r="296">
      <c r="A296" s="27"/>
      <c r="B296" s="12"/>
      <c r="C296" s="12"/>
      <c r="D296" s="12"/>
      <c r="G296" s="17"/>
      <c r="H296" s="17"/>
    </row>
    <row r="297">
      <c r="A297" s="27"/>
      <c r="B297" s="12"/>
      <c r="C297" s="12"/>
      <c r="D297" s="12"/>
      <c r="G297" s="17"/>
      <c r="H297" s="17"/>
    </row>
    <row r="298">
      <c r="A298" s="27"/>
      <c r="B298" s="12"/>
      <c r="C298" s="12"/>
      <c r="D298" s="12"/>
      <c r="G298" s="17"/>
      <c r="H298" s="17"/>
    </row>
    <row r="299">
      <c r="A299" s="27"/>
      <c r="B299" s="12"/>
      <c r="C299" s="12"/>
      <c r="D299" s="12"/>
      <c r="G299" s="17"/>
      <c r="H299" s="17"/>
    </row>
    <row r="300">
      <c r="A300" s="27"/>
      <c r="B300" s="12"/>
      <c r="C300" s="12"/>
      <c r="D300" s="12"/>
      <c r="G300" s="17"/>
      <c r="H300" s="17"/>
    </row>
    <row r="301">
      <c r="A301" s="27"/>
      <c r="B301" s="12"/>
      <c r="C301" s="12"/>
      <c r="D301" s="12"/>
      <c r="G301" s="17"/>
      <c r="H301" s="17"/>
    </row>
    <row r="302">
      <c r="A302" s="27"/>
      <c r="B302" s="12"/>
      <c r="C302" s="12"/>
      <c r="D302" s="12"/>
      <c r="G302" s="17"/>
      <c r="H302" s="17"/>
    </row>
    <row r="303">
      <c r="A303" s="27"/>
      <c r="B303" s="12"/>
      <c r="C303" s="12"/>
      <c r="D303" s="12"/>
      <c r="G303" s="17"/>
      <c r="H303" s="17"/>
    </row>
    <row r="304">
      <c r="A304" s="27"/>
      <c r="B304" s="12"/>
      <c r="C304" s="12"/>
      <c r="D304" s="12"/>
      <c r="G304" s="17"/>
      <c r="H304" s="17"/>
    </row>
    <row r="305">
      <c r="A305" s="27"/>
      <c r="B305" s="12"/>
      <c r="C305" s="12"/>
      <c r="D305" s="12"/>
      <c r="G305" s="17"/>
      <c r="H305" s="17"/>
    </row>
    <row r="306">
      <c r="A306" s="27"/>
      <c r="B306" s="12"/>
      <c r="C306" s="12"/>
      <c r="D306" s="12"/>
      <c r="G306" s="17"/>
      <c r="H306" s="17"/>
    </row>
    <row r="307">
      <c r="A307" s="27"/>
      <c r="B307" s="12"/>
      <c r="C307" s="12"/>
      <c r="D307" s="12"/>
      <c r="G307" s="17"/>
      <c r="H307" s="17"/>
    </row>
    <row r="308">
      <c r="A308" s="27"/>
      <c r="B308" s="12"/>
      <c r="C308" s="12"/>
      <c r="D308" s="12"/>
      <c r="G308" s="17"/>
      <c r="H308" s="17"/>
    </row>
    <row r="309">
      <c r="A309" s="27"/>
      <c r="B309" s="12"/>
      <c r="C309" s="12"/>
      <c r="D309" s="12"/>
      <c r="G309" s="17"/>
      <c r="H309" s="17"/>
    </row>
    <row r="310">
      <c r="A310" s="27"/>
      <c r="B310" s="12"/>
      <c r="C310" s="12"/>
      <c r="D310" s="12"/>
      <c r="G310" s="17"/>
      <c r="H310" s="17"/>
    </row>
    <row r="311">
      <c r="A311" s="27"/>
      <c r="B311" s="12"/>
      <c r="C311" s="12"/>
      <c r="D311" s="12"/>
      <c r="G311" s="17"/>
      <c r="H311" s="17"/>
    </row>
    <row r="312">
      <c r="A312" s="27"/>
      <c r="B312" s="12"/>
      <c r="C312" s="12"/>
      <c r="D312" s="12"/>
      <c r="G312" s="17"/>
      <c r="H312" s="17"/>
    </row>
    <row r="313">
      <c r="A313" s="27"/>
      <c r="B313" s="12"/>
      <c r="C313" s="12"/>
      <c r="D313" s="12"/>
      <c r="G313" s="17"/>
      <c r="H313" s="17"/>
    </row>
    <row r="314">
      <c r="A314" s="27"/>
      <c r="B314" s="12"/>
      <c r="C314" s="12"/>
      <c r="D314" s="12"/>
      <c r="G314" s="17"/>
      <c r="H314" s="17"/>
    </row>
    <row r="315">
      <c r="A315" s="27"/>
      <c r="B315" s="12"/>
      <c r="C315" s="12"/>
      <c r="D315" s="12"/>
      <c r="G315" s="17"/>
      <c r="H315" s="17"/>
    </row>
    <row r="316">
      <c r="A316" s="27"/>
      <c r="B316" s="12"/>
      <c r="C316" s="12"/>
      <c r="D316" s="12"/>
      <c r="G316" s="17"/>
      <c r="H316" s="17"/>
    </row>
    <row r="317">
      <c r="A317" s="27"/>
      <c r="B317" s="12"/>
      <c r="C317" s="12"/>
      <c r="D317" s="12"/>
      <c r="G317" s="17"/>
      <c r="H317" s="17"/>
    </row>
    <row r="318">
      <c r="A318" s="27"/>
      <c r="B318" s="12"/>
      <c r="C318" s="12"/>
      <c r="D318" s="12"/>
      <c r="G318" s="17"/>
      <c r="H318" s="17"/>
    </row>
    <row r="319">
      <c r="A319" s="27"/>
      <c r="B319" s="12"/>
      <c r="C319" s="12"/>
      <c r="D319" s="12"/>
      <c r="G319" s="17"/>
      <c r="H319" s="17"/>
    </row>
    <row r="320">
      <c r="A320" s="27"/>
      <c r="B320" s="12"/>
      <c r="C320" s="12"/>
      <c r="D320" s="12"/>
      <c r="G320" s="17"/>
      <c r="H320" s="17"/>
    </row>
    <row r="321">
      <c r="A321" s="27"/>
      <c r="B321" s="12"/>
      <c r="C321" s="12"/>
      <c r="D321" s="12"/>
      <c r="G321" s="17"/>
      <c r="H321" s="17"/>
    </row>
    <row r="322">
      <c r="A322" s="27"/>
      <c r="B322" s="12"/>
      <c r="C322" s="12"/>
      <c r="D322" s="12"/>
      <c r="G322" s="17"/>
      <c r="H322" s="17"/>
    </row>
    <row r="323">
      <c r="A323" s="27"/>
      <c r="B323" s="12"/>
      <c r="C323" s="12"/>
      <c r="D323" s="12"/>
      <c r="G323" s="17"/>
      <c r="H323" s="17"/>
    </row>
    <row r="324">
      <c r="A324" s="27"/>
      <c r="B324" s="12"/>
      <c r="C324" s="12"/>
      <c r="D324" s="12"/>
      <c r="G324" s="17"/>
      <c r="H324" s="17"/>
    </row>
    <row r="325">
      <c r="A325" s="27"/>
      <c r="B325" s="12"/>
      <c r="C325" s="12"/>
      <c r="D325" s="12"/>
      <c r="G325" s="17"/>
      <c r="H325" s="17"/>
    </row>
    <row r="326">
      <c r="A326" s="27"/>
      <c r="B326" s="12"/>
      <c r="C326" s="12"/>
      <c r="D326" s="12"/>
      <c r="G326" s="17"/>
      <c r="H326" s="17"/>
    </row>
    <row r="327">
      <c r="A327" s="27"/>
      <c r="B327" s="12"/>
      <c r="C327" s="12"/>
      <c r="D327" s="12"/>
      <c r="G327" s="17"/>
      <c r="H327" s="17"/>
    </row>
    <row r="328">
      <c r="A328" s="27"/>
      <c r="B328" s="12"/>
      <c r="C328" s="12"/>
      <c r="D328" s="12"/>
      <c r="G328" s="17"/>
      <c r="H328" s="17"/>
    </row>
    <row r="329">
      <c r="A329" s="27"/>
      <c r="B329" s="12"/>
      <c r="C329" s="12"/>
      <c r="D329" s="12"/>
      <c r="G329" s="17"/>
      <c r="H329" s="17"/>
    </row>
    <row r="330">
      <c r="A330" s="27"/>
      <c r="B330" s="12"/>
      <c r="C330" s="12"/>
      <c r="D330" s="12"/>
      <c r="G330" s="17"/>
      <c r="H330" s="17"/>
    </row>
    <row r="331">
      <c r="A331" s="27"/>
      <c r="B331" s="12"/>
      <c r="C331" s="12"/>
      <c r="D331" s="12"/>
      <c r="G331" s="17"/>
      <c r="H331" s="17"/>
    </row>
    <row r="332">
      <c r="A332" s="27"/>
      <c r="B332" s="12"/>
      <c r="C332" s="12"/>
      <c r="D332" s="12"/>
      <c r="G332" s="17"/>
      <c r="H332" s="17"/>
    </row>
    <row r="333">
      <c r="A333" s="27"/>
      <c r="B333" s="12"/>
      <c r="C333" s="12"/>
      <c r="D333" s="12"/>
      <c r="G333" s="17"/>
      <c r="H333" s="17"/>
    </row>
    <row r="334">
      <c r="A334" s="27"/>
      <c r="B334" s="12"/>
      <c r="C334" s="12"/>
      <c r="D334" s="12"/>
      <c r="G334" s="17"/>
      <c r="H334" s="17"/>
    </row>
    <row r="335">
      <c r="A335" s="27"/>
      <c r="B335" s="12"/>
      <c r="C335" s="12"/>
      <c r="D335" s="12"/>
      <c r="G335" s="17"/>
      <c r="H335" s="17"/>
    </row>
    <row r="336">
      <c r="A336" s="27"/>
      <c r="B336" s="12"/>
      <c r="C336" s="12"/>
      <c r="D336" s="12"/>
      <c r="G336" s="17"/>
      <c r="H336" s="17"/>
    </row>
    <row r="337">
      <c r="A337" s="27"/>
      <c r="B337" s="12"/>
      <c r="C337" s="12"/>
      <c r="D337" s="12"/>
      <c r="G337" s="17"/>
      <c r="H337" s="17"/>
    </row>
    <row r="338">
      <c r="A338" s="27"/>
      <c r="B338" s="12"/>
      <c r="C338" s="12"/>
      <c r="D338" s="12"/>
      <c r="G338" s="17"/>
      <c r="H338" s="17"/>
    </row>
    <row r="339">
      <c r="A339" s="27"/>
      <c r="B339" s="12"/>
      <c r="C339" s="12"/>
      <c r="D339" s="12"/>
      <c r="G339" s="17"/>
      <c r="H339" s="17"/>
    </row>
    <row r="340">
      <c r="A340" s="27"/>
      <c r="B340" s="12"/>
      <c r="C340" s="12"/>
      <c r="D340" s="12"/>
      <c r="G340" s="17"/>
      <c r="H340" s="17"/>
    </row>
    <row r="341">
      <c r="A341" s="27"/>
      <c r="B341" s="12"/>
      <c r="C341" s="12"/>
      <c r="D341" s="12"/>
      <c r="G341" s="17"/>
      <c r="H341" s="17"/>
    </row>
    <row r="342">
      <c r="A342" s="27"/>
      <c r="B342" s="12"/>
      <c r="C342" s="12"/>
      <c r="D342" s="12"/>
      <c r="G342" s="17"/>
      <c r="H342" s="17"/>
    </row>
    <row r="343">
      <c r="A343" s="27"/>
      <c r="B343" s="12"/>
      <c r="C343" s="12"/>
      <c r="D343" s="12"/>
      <c r="G343" s="17"/>
      <c r="H343" s="17"/>
    </row>
    <row r="344">
      <c r="A344" s="27"/>
      <c r="B344" s="12"/>
      <c r="C344" s="12"/>
      <c r="D344" s="12"/>
      <c r="G344" s="17"/>
      <c r="H344" s="17"/>
    </row>
    <row r="345">
      <c r="A345" s="27"/>
      <c r="B345" s="12"/>
      <c r="C345" s="12"/>
      <c r="D345" s="12"/>
      <c r="G345" s="17"/>
      <c r="H345" s="17"/>
    </row>
    <row r="346">
      <c r="A346" s="27"/>
      <c r="B346" s="12"/>
      <c r="C346" s="12"/>
      <c r="D346" s="12"/>
      <c r="G346" s="17"/>
      <c r="H346" s="17"/>
    </row>
    <row r="347">
      <c r="A347" s="27"/>
      <c r="B347" s="12"/>
      <c r="C347" s="12"/>
      <c r="D347" s="12"/>
      <c r="G347" s="17"/>
      <c r="H347" s="17"/>
    </row>
    <row r="348">
      <c r="A348" s="27"/>
      <c r="B348" s="12"/>
      <c r="C348" s="12"/>
      <c r="D348" s="12"/>
      <c r="G348" s="17"/>
      <c r="H348" s="17"/>
    </row>
    <row r="349">
      <c r="A349" s="27"/>
      <c r="B349" s="12"/>
      <c r="C349" s="12"/>
      <c r="D349" s="12"/>
      <c r="G349" s="17"/>
      <c r="H349" s="17"/>
    </row>
    <row r="350">
      <c r="A350" s="27"/>
      <c r="B350" s="12"/>
      <c r="C350" s="12"/>
      <c r="D350" s="12"/>
      <c r="G350" s="17"/>
      <c r="H350" s="17"/>
    </row>
    <row r="351">
      <c r="A351" s="27"/>
      <c r="B351" s="12"/>
      <c r="C351" s="12"/>
      <c r="D351" s="12"/>
      <c r="G351" s="17"/>
      <c r="H351" s="17"/>
    </row>
    <row r="352">
      <c r="A352" s="27"/>
      <c r="B352" s="12"/>
      <c r="C352" s="12"/>
      <c r="D352" s="12"/>
      <c r="G352" s="17"/>
      <c r="H352" s="17"/>
    </row>
    <row r="353">
      <c r="A353" s="27"/>
      <c r="B353" s="12"/>
      <c r="C353" s="12"/>
      <c r="D353" s="12"/>
      <c r="G353" s="17"/>
      <c r="H353" s="17"/>
    </row>
    <row r="354">
      <c r="A354" s="27"/>
      <c r="B354" s="12"/>
      <c r="C354" s="12"/>
      <c r="D354" s="12"/>
      <c r="G354" s="17"/>
      <c r="H354" s="17"/>
    </row>
    <row r="355">
      <c r="A355" s="27"/>
      <c r="B355" s="12"/>
      <c r="C355" s="12"/>
      <c r="D355" s="12"/>
      <c r="G355" s="17"/>
      <c r="H355" s="17"/>
    </row>
    <row r="356">
      <c r="A356" s="27"/>
      <c r="B356" s="12"/>
      <c r="C356" s="12"/>
      <c r="D356" s="12"/>
      <c r="G356" s="17"/>
      <c r="H356" s="17"/>
    </row>
    <row r="357">
      <c r="A357" s="27"/>
      <c r="B357" s="12"/>
      <c r="C357" s="12"/>
      <c r="D357" s="12"/>
      <c r="G357" s="17"/>
      <c r="H357" s="17"/>
    </row>
    <row r="358">
      <c r="A358" s="27"/>
      <c r="B358" s="12"/>
      <c r="C358" s="12"/>
      <c r="D358" s="12"/>
      <c r="G358" s="17"/>
      <c r="H358" s="17"/>
    </row>
    <row r="359">
      <c r="A359" s="27"/>
      <c r="B359" s="12"/>
      <c r="C359" s="12"/>
      <c r="D359" s="12"/>
      <c r="G359" s="17"/>
      <c r="H359" s="17"/>
    </row>
    <row r="360">
      <c r="A360" s="27"/>
      <c r="B360" s="12"/>
      <c r="C360" s="12"/>
      <c r="D360" s="12"/>
      <c r="G360" s="17"/>
      <c r="H360" s="17"/>
    </row>
    <row r="361">
      <c r="A361" s="27"/>
      <c r="B361" s="12"/>
      <c r="C361" s="12"/>
      <c r="D361" s="12"/>
      <c r="G361" s="17"/>
      <c r="H361" s="17"/>
    </row>
    <row r="362">
      <c r="A362" s="27"/>
      <c r="B362" s="12"/>
      <c r="C362" s="12"/>
      <c r="D362" s="12"/>
      <c r="G362" s="17"/>
      <c r="H362" s="17"/>
    </row>
    <row r="363">
      <c r="A363" s="27"/>
      <c r="B363" s="12"/>
      <c r="C363" s="12"/>
      <c r="D363" s="12"/>
      <c r="G363" s="17"/>
      <c r="H363" s="17"/>
    </row>
    <row r="364">
      <c r="A364" s="27"/>
      <c r="B364" s="12"/>
      <c r="C364" s="12"/>
      <c r="D364" s="12"/>
      <c r="G364" s="17"/>
      <c r="H364" s="17"/>
    </row>
    <row r="365">
      <c r="A365" s="27"/>
      <c r="B365" s="12"/>
      <c r="C365" s="12"/>
      <c r="D365" s="12"/>
      <c r="G365" s="17"/>
      <c r="H365" s="17"/>
    </row>
    <row r="366">
      <c r="A366" s="27"/>
      <c r="B366" s="12"/>
      <c r="C366" s="12"/>
      <c r="D366" s="12"/>
      <c r="G366" s="17"/>
      <c r="H366" s="17"/>
    </row>
    <row r="367">
      <c r="A367" s="27"/>
      <c r="B367" s="12"/>
      <c r="C367" s="12"/>
      <c r="D367" s="12"/>
      <c r="G367" s="17"/>
      <c r="H367" s="17"/>
    </row>
    <row r="368">
      <c r="A368" s="27"/>
      <c r="B368" s="12"/>
      <c r="C368" s="12"/>
      <c r="D368" s="12"/>
      <c r="G368" s="17"/>
      <c r="H368" s="17"/>
    </row>
    <row r="369">
      <c r="A369" s="27"/>
      <c r="B369" s="12"/>
      <c r="C369" s="12"/>
      <c r="D369" s="12"/>
      <c r="G369" s="17"/>
      <c r="H369" s="17"/>
    </row>
    <row r="370">
      <c r="A370" s="27"/>
      <c r="B370" s="12"/>
      <c r="C370" s="12"/>
      <c r="D370" s="12"/>
      <c r="G370" s="17"/>
      <c r="H370" s="17"/>
    </row>
    <row r="371">
      <c r="A371" s="27"/>
      <c r="B371" s="12"/>
      <c r="C371" s="12"/>
      <c r="D371" s="12"/>
      <c r="G371" s="17"/>
      <c r="H371" s="17"/>
    </row>
    <row r="372">
      <c r="A372" s="27"/>
      <c r="B372" s="12"/>
      <c r="C372" s="12"/>
      <c r="D372" s="12"/>
      <c r="G372" s="17"/>
      <c r="H372" s="17"/>
    </row>
    <row r="373">
      <c r="A373" s="27"/>
      <c r="B373" s="12"/>
      <c r="C373" s="12"/>
      <c r="D373" s="12"/>
      <c r="G373" s="17"/>
      <c r="H373" s="17"/>
    </row>
    <row r="374">
      <c r="A374" s="27"/>
      <c r="B374" s="12"/>
      <c r="C374" s="12"/>
      <c r="D374" s="12"/>
      <c r="G374" s="17"/>
      <c r="H374" s="17"/>
    </row>
    <row r="375">
      <c r="A375" s="27"/>
      <c r="B375" s="12"/>
      <c r="C375" s="12"/>
      <c r="D375" s="12"/>
      <c r="G375" s="17"/>
      <c r="H375" s="17"/>
    </row>
    <row r="376">
      <c r="A376" s="27"/>
      <c r="B376" s="12"/>
      <c r="C376" s="12"/>
      <c r="D376" s="12"/>
      <c r="G376" s="17"/>
      <c r="H376" s="17"/>
    </row>
    <row r="377">
      <c r="A377" s="27"/>
      <c r="B377" s="12"/>
      <c r="C377" s="12"/>
      <c r="D377" s="12"/>
      <c r="G377" s="17"/>
      <c r="H377" s="17"/>
    </row>
    <row r="378">
      <c r="A378" s="27"/>
      <c r="B378" s="12"/>
      <c r="C378" s="12"/>
      <c r="D378" s="12"/>
      <c r="G378" s="17"/>
      <c r="H378" s="17"/>
    </row>
    <row r="379">
      <c r="A379" s="27"/>
      <c r="B379" s="12"/>
      <c r="C379" s="12"/>
      <c r="D379" s="12"/>
      <c r="G379" s="17"/>
      <c r="H379" s="17"/>
    </row>
    <row r="380">
      <c r="A380" s="27"/>
      <c r="B380" s="12"/>
      <c r="C380" s="12"/>
      <c r="D380" s="12"/>
      <c r="G380" s="17"/>
      <c r="H380" s="17"/>
    </row>
    <row r="381">
      <c r="A381" s="27"/>
      <c r="B381" s="12"/>
      <c r="C381" s="12"/>
      <c r="D381" s="12"/>
      <c r="G381" s="17"/>
      <c r="H381" s="17"/>
    </row>
    <row r="382">
      <c r="A382" s="27"/>
      <c r="B382" s="12"/>
      <c r="C382" s="12"/>
      <c r="D382" s="12"/>
      <c r="G382" s="17"/>
      <c r="H382" s="17"/>
    </row>
    <row r="383">
      <c r="A383" s="27"/>
      <c r="B383" s="12"/>
      <c r="C383" s="12"/>
      <c r="D383" s="12"/>
      <c r="G383" s="17"/>
      <c r="H383" s="17"/>
    </row>
    <row r="384">
      <c r="A384" s="27"/>
      <c r="B384" s="12"/>
      <c r="C384" s="12"/>
      <c r="D384" s="12"/>
      <c r="G384" s="17"/>
      <c r="H384" s="17"/>
    </row>
    <row r="385">
      <c r="A385" s="27"/>
      <c r="B385" s="12"/>
      <c r="C385" s="12"/>
      <c r="D385" s="12"/>
      <c r="G385" s="17"/>
      <c r="H385" s="17"/>
    </row>
    <row r="386">
      <c r="A386" s="27"/>
      <c r="B386" s="12"/>
      <c r="C386" s="12"/>
      <c r="D386" s="12"/>
      <c r="G386" s="17"/>
      <c r="H386" s="17"/>
    </row>
    <row r="387">
      <c r="A387" s="27"/>
      <c r="B387" s="12"/>
      <c r="C387" s="12"/>
      <c r="D387" s="12"/>
      <c r="G387" s="17"/>
      <c r="H387" s="17"/>
    </row>
    <row r="388">
      <c r="A388" s="27"/>
      <c r="B388" s="12"/>
      <c r="C388" s="12"/>
      <c r="D388" s="12"/>
      <c r="G388" s="17"/>
      <c r="H388" s="17"/>
    </row>
    <row r="389">
      <c r="A389" s="27"/>
      <c r="B389" s="12"/>
      <c r="C389" s="12"/>
      <c r="D389" s="12"/>
      <c r="G389" s="17"/>
      <c r="H389" s="17"/>
    </row>
    <row r="390">
      <c r="A390" s="27"/>
      <c r="B390" s="12"/>
      <c r="C390" s="12"/>
      <c r="D390" s="12"/>
      <c r="G390" s="17"/>
      <c r="H390" s="17"/>
    </row>
    <row r="391">
      <c r="A391" s="27"/>
      <c r="B391" s="12"/>
      <c r="C391" s="12"/>
      <c r="D391" s="12"/>
      <c r="G391" s="17"/>
      <c r="H391" s="17"/>
    </row>
    <row r="392">
      <c r="A392" s="27"/>
      <c r="B392" s="12"/>
      <c r="C392" s="12"/>
      <c r="D392" s="12"/>
      <c r="G392" s="17"/>
      <c r="H392" s="17"/>
    </row>
    <row r="393">
      <c r="A393" s="27"/>
      <c r="B393" s="12"/>
      <c r="C393" s="12"/>
      <c r="D393" s="12"/>
      <c r="G393" s="17"/>
      <c r="H393" s="17"/>
    </row>
    <row r="394">
      <c r="A394" s="27"/>
      <c r="B394" s="12"/>
      <c r="C394" s="12"/>
      <c r="D394" s="12"/>
      <c r="G394" s="17"/>
      <c r="H394" s="17"/>
    </row>
    <row r="395">
      <c r="A395" s="27"/>
      <c r="B395" s="12"/>
      <c r="C395" s="12"/>
      <c r="D395" s="12"/>
      <c r="G395" s="17"/>
      <c r="H395" s="17"/>
    </row>
    <row r="396">
      <c r="A396" s="27"/>
      <c r="B396" s="12"/>
      <c r="C396" s="12"/>
      <c r="D396" s="12"/>
      <c r="G396" s="17"/>
      <c r="H396" s="17"/>
    </row>
    <row r="397">
      <c r="A397" s="27"/>
      <c r="B397" s="12"/>
      <c r="C397" s="12"/>
      <c r="D397" s="12"/>
      <c r="G397" s="17"/>
      <c r="H397" s="17"/>
    </row>
    <row r="398">
      <c r="A398" s="27"/>
      <c r="B398" s="12"/>
      <c r="C398" s="12"/>
      <c r="D398" s="12"/>
      <c r="G398" s="17"/>
      <c r="H398" s="17"/>
    </row>
    <row r="399">
      <c r="A399" s="27"/>
      <c r="B399" s="12"/>
      <c r="C399" s="12"/>
      <c r="D399" s="12"/>
      <c r="G399" s="17"/>
      <c r="H399" s="17"/>
    </row>
    <row r="400">
      <c r="A400" s="27"/>
      <c r="B400" s="12"/>
      <c r="C400" s="12"/>
      <c r="D400" s="12"/>
      <c r="G400" s="17"/>
      <c r="H400" s="17"/>
    </row>
    <row r="401">
      <c r="A401" s="27"/>
      <c r="B401" s="12"/>
      <c r="C401" s="12"/>
      <c r="D401" s="12"/>
      <c r="G401" s="17"/>
      <c r="H401" s="17"/>
    </row>
    <row r="402">
      <c r="A402" s="27"/>
      <c r="B402" s="12"/>
      <c r="C402" s="12"/>
      <c r="D402" s="12"/>
      <c r="G402" s="17"/>
      <c r="H402" s="17"/>
    </row>
    <row r="403">
      <c r="A403" s="27"/>
      <c r="B403" s="12"/>
      <c r="C403" s="12"/>
      <c r="D403" s="12"/>
      <c r="G403" s="17"/>
      <c r="H403" s="17"/>
    </row>
    <row r="404">
      <c r="A404" s="27"/>
      <c r="B404" s="12"/>
      <c r="C404" s="12"/>
      <c r="D404" s="12"/>
      <c r="G404" s="17"/>
      <c r="H404" s="17"/>
    </row>
    <row r="405">
      <c r="A405" s="27"/>
      <c r="B405" s="12"/>
      <c r="C405" s="12"/>
      <c r="D405" s="12"/>
      <c r="G405" s="17"/>
      <c r="H405" s="17"/>
    </row>
    <row r="406">
      <c r="A406" s="27"/>
      <c r="B406" s="12"/>
      <c r="C406" s="12"/>
      <c r="D406" s="12"/>
      <c r="G406" s="17"/>
      <c r="H406" s="17"/>
    </row>
    <row r="407">
      <c r="A407" s="27"/>
      <c r="B407" s="12"/>
      <c r="C407" s="12"/>
      <c r="D407" s="12"/>
      <c r="G407" s="17"/>
      <c r="H407" s="17"/>
    </row>
    <row r="408">
      <c r="A408" s="27"/>
      <c r="B408" s="12"/>
      <c r="C408" s="12"/>
      <c r="D408" s="12"/>
      <c r="G408" s="17"/>
      <c r="H408" s="17"/>
    </row>
    <row r="409">
      <c r="A409" s="27"/>
      <c r="B409" s="12"/>
      <c r="C409" s="12"/>
      <c r="D409" s="12"/>
      <c r="G409" s="17"/>
      <c r="H409" s="17"/>
    </row>
    <row r="410">
      <c r="A410" s="27"/>
      <c r="B410" s="12"/>
      <c r="C410" s="12"/>
      <c r="D410" s="12"/>
      <c r="G410" s="17"/>
      <c r="H410" s="17"/>
    </row>
    <row r="411">
      <c r="A411" s="27"/>
      <c r="B411" s="12"/>
      <c r="C411" s="12"/>
      <c r="D411" s="12"/>
      <c r="G411" s="17"/>
      <c r="H411" s="17"/>
    </row>
    <row r="412">
      <c r="A412" s="27"/>
      <c r="B412" s="12"/>
      <c r="C412" s="12"/>
      <c r="D412" s="12"/>
      <c r="G412" s="17"/>
      <c r="H412" s="17"/>
    </row>
    <row r="413">
      <c r="A413" s="27"/>
      <c r="B413" s="12"/>
      <c r="C413" s="12"/>
      <c r="D413" s="12"/>
      <c r="G413" s="17"/>
      <c r="H413" s="17"/>
    </row>
    <row r="414">
      <c r="A414" s="27"/>
      <c r="B414" s="12"/>
      <c r="C414" s="12"/>
      <c r="D414" s="12"/>
      <c r="G414" s="17"/>
      <c r="H414" s="17"/>
    </row>
    <row r="415">
      <c r="A415" s="27"/>
      <c r="B415" s="12"/>
      <c r="C415" s="12"/>
      <c r="D415" s="12"/>
      <c r="G415" s="17"/>
      <c r="H415" s="17"/>
    </row>
    <row r="416">
      <c r="A416" s="27"/>
      <c r="B416" s="12"/>
      <c r="C416" s="12"/>
      <c r="D416" s="12"/>
      <c r="G416" s="17"/>
      <c r="H416" s="17"/>
    </row>
    <row r="417">
      <c r="A417" s="27"/>
      <c r="B417" s="12"/>
      <c r="C417" s="12"/>
      <c r="D417" s="12"/>
      <c r="G417" s="17"/>
      <c r="H417" s="17"/>
    </row>
    <row r="418">
      <c r="A418" s="27"/>
      <c r="B418" s="12"/>
      <c r="C418" s="12"/>
      <c r="D418" s="12"/>
      <c r="G418" s="17"/>
      <c r="H418" s="17"/>
    </row>
    <row r="419">
      <c r="A419" s="27"/>
      <c r="B419" s="12"/>
      <c r="C419" s="12"/>
      <c r="D419" s="12"/>
      <c r="G419" s="17"/>
      <c r="H419" s="17"/>
    </row>
    <row r="420">
      <c r="A420" s="27"/>
      <c r="B420" s="12"/>
      <c r="C420" s="12"/>
      <c r="D420" s="12"/>
      <c r="G420" s="17"/>
      <c r="H420" s="17"/>
    </row>
    <row r="421">
      <c r="A421" s="27"/>
      <c r="B421" s="12"/>
      <c r="C421" s="12"/>
      <c r="D421" s="12"/>
      <c r="G421" s="17"/>
      <c r="H421" s="17"/>
    </row>
    <row r="422">
      <c r="A422" s="27"/>
      <c r="B422" s="12"/>
      <c r="C422" s="12"/>
      <c r="D422" s="12"/>
      <c r="G422" s="17"/>
      <c r="H422" s="17"/>
    </row>
    <row r="423">
      <c r="A423" s="27"/>
      <c r="B423" s="12"/>
      <c r="C423" s="12"/>
      <c r="D423" s="12"/>
      <c r="G423" s="17"/>
      <c r="H423" s="17"/>
    </row>
    <row r="424">
      <c r="A424" s="27"/>
      <c r="B424" s="12"/>
      <c r="C424" s="12"/>
      <c r="D424" s="12"/>
      <c r="G424" s="17"/>
      <c r="H424" s="17"/>
    </row>
    <row r="425">
      <c r="A425" s="27"/>
      <c r="B425" s="12"/>
      <c r="C425" s="12"/>
      <c r="D425" s="12"/>
      <c r="G425" s="17"/>
      <c r="H425" s="17"/>
    </row>
    <row r="426">
      <c r="A426" s="27"/>
      <c r="B426" s="12"/>
      <c r="C426" s="12"/>
      <c r="D426" s="12"/>
      <c r="G426" s="17"/>
      <c r="H426" s="17"/>
    </row>
    <row r="427">
      <c r="A427" s="27"/>
      <c r="B427" s="12"/>
      <c r="C427" s="12"/>
      <c r="D427" s="12"/>
      <c r="G427" s="17"/>
      <c r="H427" s="17"/>
    </row>
    <row r="428">
      <c r="A428" s="27"/>
      <c r="B428" s="12"/>
      <c r="C428" s="12"/>
      <c r="D428" s="12"/>
      <c r="G428" s="17"/>
      <c r="H428" s="17"/>
    </row>
    <row r="429">
      <c r="A429" s="27"/>
      <c r="B429" s="12"/>
      <c r="C429" s="12"/>
      <c r="D429" s="12"/>
      <c r="G429" s="17"/>
      <c r="H429" s="17"/>
    </row>
    <row r="430">
      <c r="A430" s="27"/>
      <c r="B430" s="12"/>
      <c r="C430" s="12"/>
      <c r="D430" s="12"/>
      <c r="G430" s="17"/>
      <c r="H430" s="17"/>
    </row>
    <row r="431">
      <c r="A431" s="27"/>
      <c r="B431" s="12"/>
      <c r="C431" s="12"/>
      <c r="D431" s="12"/>
      <c r="G431" s="17"/>
      <c r="H431" s="17"/>
    </row>
    <row r="432">
      <c r="A432" s="27"/>
      <c r="B432" s="12"/>
      <c r="C432" s="12"/>
      <c r="D432" s="12"/>
      <c r="G432" s="17"/>
      <c r="H432" s="17"/>
    </row>
    <row r="433">
      <c r="A433" s="27"/>
      <c r="B433" s="12"/>
      <c r="C433" s="12"/>
      <c r="D433" s="12"/>
      <c r="G433" s="17"/>
      <c r="H433" s="17"/>
    </row>
    <row r="434">
      <c r="A434" s="27"/>
      <c r="B434" s="12"/>
      <c r="C434" s="12"/>
      <c r="D434" s="12"/>
      <c r="G434" s="17"/>
      <c r="H434" s="17"/>
    </row>
    <row r="435">
      <c r="A435" s="27"/>
      <c r="B435" s="12"/>
      <c r="C435" s="12"/>
      <c r="D435" s="12"/>
      <c r="G435" s="17"/>
      <c r="H435" s="17"/>
    </row>
    <row r="436">
      <c r="A436" s="27"/>
      <c r="B436" s="12"/>
      <c r="C436" s="12"/>
      <c r="D436" s="12"/>
      <c r="G436" s="17"/>
      <c r="H436" s="17"/>
    </row>
    <row r="437">
      <c r="A437" s="27"/>
      <c r="B437" s="12"/>
      <c r="C437" s="12"/>
      <c r="D437" s="12"/>
      <c r="G437" s="17"/>
      <c r="H437" s="17"/>
    </row>
    <row r="438">
      <c r="A438" s="27"/>
      <c r="B438" s="12"/>
      <c r="C438" s="12"/>
      <c r="D438" s="12"/>
      <c r="G438" s="17"/>
      <c r="H438" s="17"/>
    </row>
    <row r="439">
      <c r="A439" s="27"/>
      <c r="B439" s="12"/>
      <c r="C439" s="12"/>
      <c r="D439" s="12"/>
      <c r="G439" s="17"/>
      <c r="H439" s="17"/>
    </row>
    <row r="440">
      <c r="A440" s="27"/>
      <c r="B440" s="12"/>
      <c r="C440" s="12"/>
      <c r="D440" s="12"/>
      <c r="G440" s="17"/>
      <c r="H440" s="17"/>
    </row>
    <row r="441">
      <c r="A441" s="27"/>
      <c r="B441" s="12"/>
      <c r="C441" s="12"/>
      <c r="D441" s="12"/>
      <c r="G441" s="17"/>
      <c r="H441" s="17"/>
    </row>
    <row r="442">
      <c r="A442" s="27"/>
      <c r="B442" s="12"/>
      <c r="C442" s="12"/>
      <c r="D442" s="12"/>
      <c r="G442" s="17"/>
      <c r="H442" s="17"/>
    </row>
    <row r="443">
      <c r="A443" s="27"/>
      <c r="B443" s="12"/>
      <c r="C443" s="12"/>
      <c r="D443" s="12"/>
      <c r="G443" s="17"/>
      <c r="H443" s="17"/>
    </row>
    <row r="444">
      <c r="A444" s="27"/>
      <c r="B444" s="12"/>
      <c r="C444" s="12"/>
      <c r="D444" s="12"/>
      <c r="G444" s="17"/>
      <c r="H444" s="17"/>
    </row>
    <row r="445">
      <c r="A445" s="27"/>
      <c r="B445" s="12"/>
      <c r="C445" s="12"/>
      <c r="D445" s="12"/>
      <c r="G445" s="17"/>
      <c r="H445" s="17"/>
    </row>
    <row r="446">
      <c r="A446" s="27"/>
      <c r="B446" s="12"/>
      <c r="C446" s="12"/>
      <c r="D446" s="12"/>
      <c r="G446" s="17"/>
      <c r="H446" s="17"/>
    </row>
    <row r="447">
      <c r="A447" s="27"/>
      <c r="B447" s="12"/>
      <c r="C447" s="12"/>
      <c r="D447" s="12"/>
      <c r="G447" s="17"/>
      <c r="H447" s="17"/>
    </row>
    <row r="448">
      <c r="A448" s="27"/>
      <c r="B448" s="12"/>
      <c r="C448" s="12"/>
      <c r="D448" s="12"/>
      <c r="G448" s="17"/>
      <c r="H448" s="17"/>
    </row>
    <row r="449">
      <c r="A449" s="27"/>
      <c r="B449" s="12"/>
      <c r="C449" s="12"/>
      <c r="D449" s="12"/>
      <c r="G449" s="17"/>
      <c r="H449" s="17"/>
    </row>
    <row r="450">
      <c r="A450" s="27"/>
      <c r="B450" s="12"/>
      <c r="C450" s="12"/>
      <c r="D450" s="12"/>
      <c r="G450" s="17"/>
      <c r="H450" s="17"/>
    </row>
    <row r="451">
      <c r="A451" s="27"/>
      <c r="B451" s="12"/>
      <c r="C451" s="12"/>
      <c r="D451" s="12"/>
      <c r="G451" s="17"/>
      <c r="H451" s="17"/>
    </row>
    <row r="452">
      <c r="A452" s="27"/>
      <c r="B452" s="12"/>
      <c r="C452" s="12"/>
      <c r="D452" s="12"/>
      <c r="G452" s="17"/>
      <c r="H452" s="17"/>
    </row>
    <row r="453">
      <c r="A453" s="27"/>
      <c r="B453" s="12"/>
      <c r="C453" s="12"/>
      <c r="D453" s="12"/>
      <c r="G453" s="17"/>
      <c r="H453" s="17"/>
    </row>
    <row r="454">
      <c r="A454" s="27"/>
      <c r="B454" s="12"/>
      <c r="C454" s="12"/>
      <c r="D454" s="12"/>
      <c r="G454" s="17"/>
      <c r="H454" s="17"/>
    </row>
    <row r="455">
      <c r="A455" s="27"/>
      <c r="B455" s="12"/>
      <c r="C455" s="12"/>
      <c r="D455" s="12"/>
      <c r="G455" s="17"/>
      <c r="H455" s="17"/>
    </row>
    <row r="456">
      <c r="A456" s="27"/>
      <c r="B456" s="12"/>
      <c r="C456" s="12"/>
      <c r="D456" s="12"/>
      <c r="G456" s="17"/>
      <c r="H456" s="17"/>
    </row>
    <row r="457">
      <c r="A457" s="27"/>
      <c r="B457" s="12"/>
      <c r="C457" s="12"/>
      <c r="D457" s="12"/>
      <c r="G457" s="17"/>
      <c r="H457" s="17"/>
    </row>
    <row r="458">
      <c r="A458" s="27"/>
      <c r="B458" s="12"/>
      <c r="C458" s="12"/>
      <c r="D458" s="12"/>
      <c r="G458" s="17"/>
      <c r="H458" s="17"/>
    </row>
    <row r="459">
      <c r="A459" s="27"/>
      <c r="B459" s="12"/>
      <c r="C459" s="12"/>
      <c r="D459" s="12"/>
      <c r="G459" s="17"/>
      <c r="H459" s="17"/>
    </row>
    <row r="460">
      <c r="A460" s="27"/>
      <c r="B460" s="12"/>
      <c r="C460" s="12"/>
      <c r="D460" s="12"/>
      <c r="G460" s="17"/>
      <c r="H460" s="17"/>
    </row>
    <row r="461">
      <c r="A461" s="27"/>
      <c r="B461" s="12"/>
      <c r="C461" s="12"/>
      <c r="D461" s="12"/>
      <c r="G461" s="17"/>
      <c r="H461" s="17"/>
    </row>
    <row r="462">
      <c r="A462" s="27"/>
      <c r="B462" s="12"/>
      <c r="C462" s="12"/>
      <c r="D462" s="12"/>
      <c r="G462" s="17"/>
      <c r="H462" s="17"/>
    </row>
    <row r="463">
      <c r="A463" s="27"/>
      <c r="B463" s="12"/>
      <c r="C463" s="12"/>
      <c r="D463" s="12"/>
      <c r="G463" s="17"/>
      <c r="H463" s="17"/>
    </row>
    <row r="464">
      <c r="A464" s="27"/>
      <c r="B464" s="12"/>
      <c r="C464" s="12"/>
      <c r="D464" s="12"/>
      <c r="G464" s="17"/>
      <c r="H464" s="17"/>
    </row>
    <row r="465">
      <c r="A465" s="27"/>
      <c r="B465" s="12"/>
      <c r="C465" s="12"/>
      <c r="D465" s="12"/>
      <c r="G465" s="17"/>
      <c r="H465" s="17"/>
    </row>
    <row r="466">
      <c r="A466" s="27"/>
      <c r="B466" s="12"/>
      <c r="C466" s="12"/>
      <c r="D466" s="12"/>
      <c r="G466" s="17"/>
      <c r="H466" s="17"/>
    </row>
    <row r="467">
      <c r="A467" s="27"/>
      <c r="B467" s="12"/>
      <c r="C467" s="12"/>
      <c r="D467" s="12"/>
      <c r="G467" s="17"/>
      <c r="H467" s="17"/>
    </row>
    <row r="468">
      <c r="A468" s="27"/>
      <c r="B468" s="12"/>
      <c r="C468" s="12"/>
      <c r="D468" s="12"/>
      <c r="G468" s="17"/>
      <c r="H468" s="17"/>
    </row>
    <row r="469">
      <c r="A469" s="27"/>
      <c r="B469" s="12"/>
      <c r="C469" s="12"/>
      <c r="D469" s="12"/>
      <c r="G469" s="17"/>
      <c r="H469" s="17"/>
    </row>
    <row r="470">
      <c r="A470" s="27"/>
      <c r="B470" s="12"/>
      <c r="C470" s="12"/>
      <c r="D470" s="12"/>
      <c r="G470" s="17"/>
      <c r="H470" s="17"/>
    </row>
    <row r="471">
      <c r="A471" s="27"/>
      <c r="B471" s="12"/>
      <c r="C471" s="12"/>
      <c r="D471" s="12"/>
      <c r="G471" s="17"/>
      <c r="H471" s="17"/>
    </row>
    <row r="472">
      <c r="A472" s="27"/>
      <c r="B472" s="12"/>
      <c r="C472" s="12"/>
      <c r="D472" s="12"/>
      <c r="G472" s="17"/>
      <c r="H472" s="17"/>
    </row>
    <row r="473">
      <c r="A473" s="27"/>
      <c r="B473" s="12"/>
      <c r="C473" s="12"/>
      <c r="D473" s="12"/>
      <c r="G473" s="17"/>
      <c r="H473" s="17"/>
    </row>
    <row r="474">
      <c r="A474" s="27"/>
      <c r="B474" s="12"/>
      <c r="C474" s="12"/>
      <c r="D474" s="12"/>
      <c r="G474" s="17"/>
      <c r="H474" s="17"/>
    </row>
    <row r="475">
      <c r="A475" s="27"/>
      <c r="B475" s="12"/>
      <c r="C475" s="12"/>
      <c r="D475" s="12"/>
      <c r="G475" s="17"/>
      <c r="H475" s="17"/>
    </row>
    <row r="476">
      <c r="A476" s="27"/>
      <c r="B476" s="12"/>
      <c r="C476" s="12"/>
      <c r="D476" s="12"/>
      <c r="G476" s="17"/>
      <c r="H476" s="17"/>
    </row>
    <row r="477">
      <c r="A477" s="27"/>
      <c r="B477" s="12"/>
      <c r="C477" s="12"/>
      <c r="D477" s="12"/>
      <c r="G477" s="17"/>
      <c r="H477" s="17"/>
    </row>
    <row r="478">
      <c r="A478" s="27"/>
      <c r="B478" s="12"/>
      <c r="C478" s="12"/>
      <c r="D478" s="12"/>
      <c r="G478" s="17"/>
      <c r="H478" s="17"/>
    </row>
    <row r="479">
      <c r="A479" s="27"/>
      <c r="B479" s="12"/>
      <c r="C479" s="12"/>
      <c r="D479" s="12"/>
      <c r="G479" s="17"/>
      <c r="H479" s="17"/>
    </row>
    <row r="480">
      <c r="A480" s="27"/>
      <c r="B480" s="12"/>
      <c r="C480" s="12"/>
      <c r="D480" s="12"/>
      <c r="G480" s="17"/>
      <c r="H480" s="17"/>
    </row>
    <row r="481">
      <c r="A481" s="27"/>
      <c r="B481" s="12"/>
      <c r="C481" s="12"/>
      <c r="D481" s="12"/>
      <c r="G481" s="17"/>
      <c r="H481" s="17"/>
    </row>
    <row r="482">
      <c r="A482" s="27"/>
      <c r="B482" s="12"/>
      <c r="C482" s="12"/>
      <c r="D482" s="12"/>
      <c r="G482" s="17"/>
      <c r="H482" s="17"/>
    </row>
    <row r="483">
      <c r="A483" s="27"/>
      <c r="B483" s="12"/>
      <c r="C483" s="12"/>
      <c r="D483" s="12"/>
      <c r="G483" s="17"/>
      <c r="H483" s="17"/>
    </row>
    <row r="484">
      <c r="A484" s="27"/>
      <c r="B484" s="12"/>
      <c r="C484" s="12"/>
      <c r="D484" s="12"/>
      <c r="G484" s="17"/>
      <c r="H484" s="17"/>
    </row>
    <row r="485">
      <c r="A485" s="27"/>
      <c r="B485" s="12"/>
      <c r="C485" s="12"/>
      <c r="D485" s="12"/>
      <c r="G485" s="17"/>
      <c r="H485" s="17"/>
    </row>
    <row r="486">
      <c r="A486" s="27"/>
      <c r="B486" s="12"/>
      <c r="C486" s="12"/>
      <c r="D486" s="12"/>
      <c r="G486" s="17"/>
      <c r="H486" s="17"/>
    </row>
    <row r="487">
      <c r="A487" s="27"/>
      <c r="B487" s="12"/>
      <c r="C487" s="12"/>
      <c r="D487" s="12"/>
      <c r="G487" s="17"/>
      <c r="H487" s="17"/>
    </row>
    <row r="488">
      <c r="A488" s="27"/>
      <c r="B488" s="12"/>
      <c r="C488" s="12"/>
      <c r="D488" s="12"/>
      <c r="G488" s="17"/>
      <c r="H488" s="17"/>
    </row>
    <row r="489">
      <c r="A489" s="27"/>
      <c r="B489" s="12"/>
      <c r="C489" s="12"/>
      <c r="D489" s="12"/>
      <c r="G489" s="17"/>
      <c r="H489" s="17"/>
    </row>
    <row r="490">
      <c r="A490" s="27"/>
      <c r="B490" s="12"/>
      <c r="C490" s="12"/>
      <c r="D490" s="12"/>
      <c r="G490" s="17"/>
      <c r="H490" s="17"/>
    </row>
    <row r="491">
      <c r="A491" s="27"/>
      <c r="B491" s="12"/>
      <c r="C491" s="12"/>
      <c r="D491" s="12"/>
      <c r="G491" s="17"/>
      <c r="H491" s="17"/>
    </row>
    <row r="492">
      <c r="A492" s="27"/>
      <c r="B492" s="12"/>
      <c r="C492" s="12"/>
      <c r="D492" s="12"/>
      <c r="G492" s="17"/>
      <c r="H492" s="17"/>
    </row>
    <row r="493">
      <c r="A493" s="27"/>
      <c r="B493" s="12"/>
      <c r="C493" s="12"/>
      <c r="D493" s="12"/>
      <c r="G493" s="17"/>
      <c r="H493" s="17"/>
    </row>
    <row r="494">
      <c r="A494" s="27"/>
      <c r="B494" s="12"/>
      <c r="C494" s="12"/>
      <c r="D494" s="12"/>
      <c r="G494" s="17"/>
      <c r="H494" s="17"/>
    </row>
    <row r="495">
      <c r="A495" s="27"/>
      <c r="B495" s="12"/>
      <c r="C495" s="12"/>
      <c r="D495" s="12"/>
      <c r="G495" s="17"/>
      <c r="H495" s="17"/>
    </row>
    <row r="496">
      <c r="A496" s="27"/>
      <c r="B496" s="12"/>
      <c r="C496" s="12"/>
      <c r="D496" s="12"/>
      <c r="G496" s="17"/>
      <c r="H496" s="17"/>
    </row>
    <row r="497">
      <c r="A497" s="27"/>
      <c r="B497" s="12"/>
      <c r="C497" s="12"/>
      <c r="D497" s="12"/>
      <c r="G497" s="17"/>
      <c r="H497" s="17"/>
    </row>
    <row r="498">
      <c r="A498" s="27"/>
      <c r="B498" s="12"/>
      <c r="C498" s="12"/>
      <c r="D498" s="12"/>
      <c r="G498" s="17"/>
      <c r="H498" s="17"/>
    </row>
    <row r="499">
      <c r="A499" s="27"/>
      <c r="B499" s="12"/>
      <c r="C499" s="12"/>
      <c r="D499" s="12"/>
      <c r="G499" s="17"/>
      <c r="H499" s="17"/>
    </row>
    <row r="500">
      <c r="A500" s="27"/>
      <c r="B500" s="12"/>
      <c r="C500" s="12"/>
      <c r="D500" s="12"/>
      <c r="G500" s="17"/>
      <c r="H500" s="17"/>
    </row>
    <row r="501">
      <c r="A501" s="27"/>
      <c r="B501" s="12"/>
      <c r="C501" s="12"/>
      <c r="D501" s="12"/>
      <c r="G501" s="17"/>
      <c r="H501" s="17"/>
    </row>
    <row r="502">
      <c r="A502" s="27"/>
      <c r="B502" s="12"/>
      <c r="C502" s="12"/>
      <c r="D502" s="12"/>
      <c r="G502" s="17"/>
      <c r="H502" s="17"/>
    </row>
    <row r="503">
      <c r="A503" s="27"/>
      <c r="B503" s="12"/>
      <c r="C503" s="12"/>
      <c r="D503" s="12"/>
      <c r="G503" s="17"/>
      <c r="H503" s="17"/>
    </row>
    <row r="504">
      <c r="A504" s="27"/>
      <c r="B504" s="12"/>
      <c r="C504" s="12"/>
      <c r="D504" s="12"/>
      <c r="G504" s="17"/>
      <c r="H504" s="17"/>
    </row>
    <row r="505">
      <c r="A505" s="27"/>
      <c r="B505" s="12"/>
      <c r="C505" s="12"/>
      <c r="D505" s="12"/>
      <c r="G505" s="17"/>
      <c r="H505" s="17"/>
    </row>
    <row r="506">
      <c r="A506" s="27"/>
      <c r="B506" s="12"/>
      <c r="C506" s="12"/>
      <c r="D506" s="12"/>
      <c r="G506" s="17"/>
      <c r="H506" s="17"/>
    </row>
    <row r="507">
      <c r="A507" s="27"/>
      <c r="B507" s="12"/>
      <c r="C507" s="12"/>
      <c r="D507" s="12"/>
      <c r="G507" s="17"/>
      <c r="H507" s="17"/>
    </row>
    <row r="508">
      <c r="A508" s="27"/>
      <c r="B508" s="12"/>
      <c r="C508" s="12"/>
      <c r="D508" s="12"/>
      <c r="G508" s="17"/>
      <c r="H508" s="17"/>
    </row>
    <row r="509">
      <c r="A509" s="27"/>
      <c r="B509" s="12"/>
      <c r="C509" s="12"/>
      <c r="D509" s="12"/>
      <c r="G509" s="17"/>
      <c r="H509" s="17"/>
    </row>
    <row r="510">
      <c r="A510" s="27"/>
      <c r="B510" s="12"/>
      <c r="C510" s="12"/>
      <c r="D510" s="12"/>
      <c r="G510" s="17"/>
      <c r="H510" s="17"/>
    </row>
    <row r="511">
      <c r="A511" s="27"/>
      <c r="B511" s="12"/>
      <c r="C511" s="12"/>
      <c r="D511" s="12"/>
      <c r="G511" s="17"/>
      <c r="H511" s="17"/>
    </row>
    <row r="512">
      <c r="A512" s="27"/>
      <c r="B512" s="12"/>
      <c r="C512" s="12"/>
      <c r="D512" s="12"/>
      <c r="G512" s="17"/>
      <c r="H512" s="17"/>
    </row>
    <row r="513">
      <c r="A513" s="27"/>
      <c r="B513" s="12"/>
      <c r="C513" s="12"/>
      <c r="D513" s="12"/>
      <c r="G513" s="17"/>
      <c r="H513" s="17"/>
    </row>
    <row r="514">
      <c r="A514" s="27"/>
      <c r="B514" s="12"/>
      <c r="C514" s="12"/>
      <c r="D514" s="12"/>
      <c r="G514" s="17"/>
      <c r="H514" s="17"/>
    </row>
    <row r="515">
      <c r="A515" s="27"/>
      <c r="B515" s="12"/>
      <c r="C515" s="12"/>
      <c r="D515" s="12"/>
      <c r="G515" s="17"/>
      <c r="H515" s="17"/>
    </row>
    <row r="516">
      <c r="A516" s="27"/>
      <c r="B516" s="12"/>
      <c r="C516" s="12"/>
      <c r="D516" s="12"/>
      <c r="G516" s="17"/>
      <c r="H516" s="17"/>
    </row>
    <row r="517">
      <c r="A517" s="27"/>
      <c r="B517" s="12"/>
      <c r="C517" s="12"/>
      <c r="D517" s="12"/>
      <c r="G517" s="17"/>
      <c r="H517" s="17"/>
    </row>
    <row r="518">
      <c r="A518" s="27"/>
      <c r="B518" s="12"/>
      <c r="C518" s="12"/>
      <c r="D518" s="12"/>
      <c r="G518" s="17"/>
      <c r="H518" s="17"/>
    </row>
    <row r="519">
      <c r="A519" s="27"/>
      <c r="B519" s="12"/>
      <c r="C519" s="12"/>
      <c r="D519" s="12"/>
      <c r="G519" s="17"/>
      <c r="H519" s="17"/>
    </row>
    <row r="520">
      <c r="A520" s="27"/>
      <c r="B520" s="12"/>
      <c r="C520" s="12"/>
      <c r="D520" s="12"/>
      <c r="G520" s="17"/>
      <c r="H520" s="17"/>
    </row>
    <row r="521">
      <c r="A521" s="27"/>
      <c r="B521" s="12"/>
      <c r="C521" s="12"/>
      <c r="D521" s="12"/>
      <c r="G521" s="17"/>
      <c r="H521" s="17"/>
    </row>
    <row r="522">
      <c r="A522" s="27"/>
      <c r="B522" s="12"/>
      <c r="C522" s="12"/>
      <c r="D522" s="12"/>
      <c r="G522" s="17"/>
      <c r="H522" s="17"/>
    </row>
    <row r="523">
      <c r="A523" s="27"/>
      <c r="B523" s="12"/>
      <c r="C523" s="12"/>
      <c r="D523" s="12"/>
      <c r="G523" s="17"/>
      <c r="H523" s="17"/>
    </row>
    <row r="524">
      <c r="A524" s="27"/>
      <c r="B524" s="12"/>
      <c r="C524" s="12"/>
      <c r="D524" s="12"/>
      <c r="G524" s="17"/>
      <c r="H524" s="17"/>
    </row>
    <row r="525">
      <c r="A525" s="27"/>
      <c r="B525" s="12"/>
      <c r="C525" s="12"/>
      <c r="D525" s="12"/>
      <c r="G525" s="17"/>
      <c r="H525" s="17"/>
    </row>
    <row r="526">
      <c r="A526" s="27"/>
      <c r="B526" s="12"/>
      <c r="C526" s="12"/>
      <c r="D526" s="12"/>
      <c r="G526" s="17"/>
      <c r="H526" s="17"/>
    </row>
    <row r="527">
      <c r="A527" s="27"/>
      <c r="B527" s="12"/>
      <c r="C527" s="12"/>
      <c r="D527" s="12"/>
      <c r="G527" s="17"/>
      <c r="H527" s="17"/>
    </row>
    <row r="528">
      <c r="A528" s="27"/>
      <c r="B528" s="12"/>
      <c r="C528" s="12"/>
      <c r="D528" s="12"/>
      <c r="G528" s="17"/>
      <c r="H528" s="17"/>
    </row>
    <row r="529">
      <c r="A529" s="27"/>
      <c r="B529" s="12"/>
      <c r="C529" s="12"/>
      <c r="D529" s="12"/>
      <c r="G529" s="17"/>
      <c r="H529" s="17"/>
    </row>
    <row r="530">
      <c r="A530" s="27"/>
      <c r="B530" s="12"/>
      <c r="C530" s="12"/>
      <c r="D530" s="12"/>
      <c r="G530" s="17"/>
      <c r="H530" s="17"/>
    </row>
    <row r="531">
      <c r="A531" s="27"/>
      <c r="B531" s="12"/>
      <c r="C531" s="12"/>
      <c r="D531" s="12"/>
      <c r="G531" s="17"/>
      <c r="H531" s="17"/>
    </row>
    <row r="532">
      <c r="A532" s="27"/>
      <c r="B532" s="12"/>
      <c r="C532" s="12"/>
      <c r="D532" s="12"/>
      <c r="G532" s="17"/>
      <c r="H532" s="17"/>
    </row>
    <row r="533">
      <c r="A533" s="27"/>
      <c r="B533" s="12"/>
      <c r="C533" s="12"/>
      <c r="D533" s="12"/>
      <c r="G533" s="17"/>
      <c r="H533" s="17"/>
    </row>
    <row r="534">
      <c r="A534" s="27"/>
      <c r="B534" s="12"/>
      <c r="C534" s="12"/>
      <c r="D534" s="12"/>
      <c r="G534" s="17"/>
      <c r="H534" s="17"/>
    </row>
    <row r="535">
      <c r="A535" s="27"/>
      <c r="B535" s="12"/>
      <c r="C535" s="12"/>
      <c r="D535" s="12"/>
      <c r="G535" s="17"/>
      <c r="H535" s="17"/>
    </row>
    <row r="536">
      <c r="A536" s="27"/>
      <c r="B536" s="12"/>
      <c r="C536" s="12"/>
      <c r="D536" s="12"/>
      <c r="G536" s="17"/>
      <c r="H536" s="17"/>
    </row>
    <row r="537">
      <c r="A537" s="27"/>
      <c r="B537" s="12"/>
      <c r="C537" s="12"/>
      <c r="D537" s="12"/>
      <c r="G537" s="17"/>
      <c r="H537" s="17"/>
    </row>
    <row r="538">
      <c r="A538" s="27"/>
      <c r="B538" s="12"/>
      <c r="C538" s="12"/>
      <c r="D538" s="12"/>
      <c r="G538" s="17"/>
      <c r="H538" s="17"/>
    </row>
    <row r="539">
      <c r="A539" s="27"/>
      <c r="B539" s="12"/>
      <c r="C539" s="12"/>
      <c r="D539" s="12"/>
      <c r="G539" s="17"/>
      <c r="H539" s="17"/>
    </row>
    <row r="540">
      <c r="A540" s="27"/>
      <c r="B540" s="12"/>
      <c r="C540" s="12"/>
      <c r="D540" s="12"/>
      <c r="G540" s="17"/>
      <c r="H540" s="17"/>
    </row>
    <row r="541">
      <c r="A541" s="27"/>
      <c r="B541" s="12"/>
      <c r="C541" s="12"/>
      <c r="D541" s="12"/>
      <c r="G541" s="17"/>
      <c r="H541" s="17"/>
    </row>
    <row r="542">
      <c r="A542" s="27"/>
      <c r="B542" s="12"/>
      <c r="C542" s="12"/>
      <c r="D542" s="12"/>
      <c r="G542" s="17"/>
      <c r="H542" s="17"/>
    </row>
    <row r="543">
      <c r="A543" s="27"/>
      <c r="B543" s="12"/>
      <c r="C543" s="12"/>
      <c r="D543" s="12"/>
      <c r="G543" s="17"/>
      <c r="H543" s="17"/>
    </row>
    <row r="544">
      <c r="A544" s="27"/>
      <c r="B544" s="12"/>
      <c r="C544" s="12"/>
      <c r="D544" s="12"/>
      <c r="G544" s="17"/>
      <c r="H544" s="17"/>
    </row>
    <row r="545">
      <c r="A545" s="27"/>
      <c r="B545" s="12"/>
      <c r="C545" s="12"/>
      <c r="D545" s="12"/>
      <c r="G545" s="17"/>
      <c r="H545" s="17"/>
    </row>
    <row r="546">
      <c r="A546" s="27"/>
      <c r="B546" s="12"/>
      <c r="C546" s="12"/>
      <c r="D546" s="12"/>
      <c r="G546" s="17"/>
      <c r="H546" s="17"/>
    </row>
    <row r="547">
      <c r="A547" s="27"/>
      <c r="B547" s="12"/>
      <c r="C547" s="12"/>
      <c r="D547" s="12"/>
      <c r="G547" s="17"/>
      <c r="H547" s="17"/>
    </row>
    <row r="548">
      <c r="A548" s="27"/>
      <c r="B548" s="12"/>
      <c r="C548" s="12"/>
      <c r="D548" s="12"/>
      <c r="G548" s="17"/>
      <c r="H548" s="17"/>
    </row>
    <row r="549">
      <c r="A549" s="27"/>
      <c r="B549" s="12"/>
      <c r="C549" s="12"/>
      <c r="D549" s="12"/>
      <c r="G549" s="17"/>
      <c r="H549" s="17"/>
    </row>
    <row r="550">
      <c r="A550" s="27"/>
      <c r="B550" s="12"/>
      <c r="C550" s="12"/>
      <c r="D550" s="12"/>
      <c r="G550" s="17"/>
      <c r="H550" s="17"/>
    </row>
    <row r="551">
      <c r="A551" s="27"/>
      <c r="B551" s="12"/>
      <c r="C551" s="12"/>
      <c r="D551" s="12"/>
      <c r="G551" s="17"/>
      <c r="H551" s="17"/>
    </row>
    <row r="552">
      <c r="A552" s="27"/>
      <c r="B552" s="12"/>
      <c r="C552" s="12"/>
      <c r="D552" s="12"/>
      <c r="G552" s="17"/>
      <c r="H552" s="17"/>
    </row>
    <row r="553">
      <c r="A553" s="27"/>
      <c r="B553" s="12"/>
      <c r="C553" s="12"/>
      <c r="D553" s="12"/>
      <c r="G553" s="17"/>
      <c r="H553" s="17"/>
    </row>
    <row r="554">
      <c r="A554" s="27"/>
      <c r="B554" s="12"/>
      <c r="C554" s="12"/>
      <c r="D554" s="12"/>
      <c r="G554" s="17"/>
      <c r="H554" s="17"/>
    </row>
    <row r="555">
      <c r="A555" s="27"/>
      <c r="B555" s="12"/>
      <c r="C555" s="12"/>
      <c r="D555" s="12"/>
      <c r="G555" s="17"/>
      <c r="H555" s="17"/>
    </row>
    <row r="556">
      <c r="A556" s="27"/>
      <c r="B556" s="12"/>
      <c r="C556" s="12"/>
      <c r="D556" s="12"/>
      <c r="G556" s="17"/>
      <c r="H556" s="17"/>
    </row>
    <row r="557">
      <c r="A557" s="27"/>
      <c r="B557" s="12"/>
      <c r="C557" s="12"/>
      <c r="D557" s="12"/>
      <c r="G557" s="17"/>
      <c r="H557" s="17"/>
    </row>
    <row r="558">
      <c r="A558" s="27"/>
      <c r="B558" s="12"/>
      <c r="C558" s="12"/>
      <c r="D558" s="12"/>
      <c r="G558" s="17"/>
      <c r="H558" s="17"/>
    </row>
    <row r="559">
      <c r="A559" s="27"/>
      <c r="B559" s="12"/>
      <c r="C559" s="12"/>
      <c r="D559" s="12"/>
      <c r="G559" s="17"/>
      <c r="H559" s="17"/>
    </row>
    <row r="560">
      <c r="A560" s="27"/>
      <c r="B560" s="12"/>
      <c r="C560" s="12"/>
      <c r="D560" s="12"/>
      <c r="G560" s="17"/>
      <c r="H560" s="17"/>
    </row>
    <row r="561">
      <c r="A561" s="27"/>
      <c r="B561" s="12"/>
      <c r="C561" s="12"/>
      <c r="D561" s="12"/>
      <c r="G561" s="17"/>
      <c r="H561" s="17"/>
    </row>
    <row r="562">
      <c r="A562" s="27"/>
      <c r="B562" s="12"/>
      <c r="C562" s="12"/>
      <c r="D562" s="12"/>
      <c r="G562" s="17"/>
      <c r="H562" s="17"/>
    </row>
    <row r="563">
      <c r="A563" s="27"/>
      <c r="B563" s="12"/>
      <c r="C563" s="12"/>
      <c r="D563" s="12"/>
      <c r="G563" s="17"/>
      <c r="H563" s="17"/>
    </row>
    <row r="564">
      <c r="A564" s="27"/>
      <c r="B564" s="12"/>
      <c r="C564" s="12"/>
      <c r="D564" s="12"/>
      <c r="G564" s="17"/>
      <c r="H564" s="17"/>
    </row>
    <row r="565">
      <c r="A565" s="27"/>
      <c r="B565" s="12"/>
      <c r="C565" s="12"/>
      <c r="D565" s="12"/>
      <c r="G565" s="17"/>
      <c r="H565" s="17"/>
    </row>
    <row r="566">
      <c r="A566" s="27"/>
      <c r="B566" s="12"/>
      <c r="C566" s="12"/>
      <c r="D566" s="12"/>
      <c r="G566" s="17"/>
      <c r="H566" s="17"/>
    </row>
    <row r="567">
      <c r="A567" s="27"/>
      <c r="B567" s="12"/>
      <c r="C567" s="12"/>
      <c r="D567" s="12"/>
      <c r="G567" s="17"/>
      <c r="H567" s="17"/>
    </row>
    <row r="568">
      <c r="A568" s="27"/>
      <c r="B568" s="12"/>
      <c r="C568" s="12"/>
      <c r="D568" s="12"/>
      <c r="G568" s="17"/>
      <c r="H568" s="17"/>
    </row>
    <row r="569">
      <c r="A569" s="27"/>
      <c r="B569" s="12"/>
      <c r="C569" s="12"/>
      <c r="D569" s="12"/>
      <c r="G569" s="17"/>
      <c r="H569" s="17"/>
    </row>
    <row r="570">
      <c r="A570" s="27"/>
      <c r="B570" s="12"/>
      <c r="C570" s="12"/>
      <c r="D570" s="12"/>
      <c r="G570" s="17"/>
      <c r="H570" s="17"/>
    </row>
    <row r="571">
      <c r="A571" s="27"/>
      <c r="B571" s="12"/>
      <c r="C571" s="12"/>
      <c r="D571" s="12"/>
      <c r="G571" s="17"/>
      <c r="H571" s="17"/>
    </row>
    <row r="572">
      <c r="A572" s="27"/>
      <c r="B572" s="12"/>
      <c r="C572" s="12"/>
      <c r="D572" s="12"/>
      <c r="G572" s="17"/>
      <c r="H572" s="17"/>
    </row>
    <row r="573">
      <c r="A573" s="27"/>
      <c r="B573" s="12"/>
      <c r="C573" s="12"/>
      <c r="D573" s="12"/>
      <c r="G573" s="17"/>
      <c r="H573" s="17"/>
    </row>
    <row r="574">
      <c r="A574" s="27"/>
      <c r="B574" s="12"/>
      <c r="C574" s="12"/>
      <c r="D574" s="12"/>
      <c r="G574" s="17"/>
      <c r="H574" s="17"/>
    </row>
    <row r="575">
      <c r="A575" s="27"/>
      <c r="B575" s="12"/>
      <c r="C575" s="12"/>
      <c r="D575" s="12"/>
      <c r="G575" s="17"/>
      <c r="H575" s="17"/>
    </row>
    <row r="576">
      <c r="A576" s="27"/>
      <c r="B576" s="12"/>
      <c r="C576" s="12"/>
      <c r="D576" s="12"/>
      <c r="G576" s="17"/>
      <c r="H576" s="17"/>
    </row>
    <row r="577">
      <c r="A577" s="27"/>
      <c r="B577" s="12"/>
      <c r="C577" s="12"/>
      <c r="D577" s="12"/>
      <c r="G577" s="17"/>
      <c r="H577" s="17"/>
    </row>
    <row r="578">
      <c r="A578" s="27"/>
      <c r="B578" s="12"/>
      <c r="C578" s="12"/>
      <c r="D578" s="12"/>
      <c r="G578" s="17"/>
      <c r="H578" s="17"/>
    </row>
    <row r="579">
      <c r="A579" s="27"/>
      <c r="B579" s="12"/>
      <c r="C579" s="12"/>
      <c r="D579" s="12"/>
      <c r="G579" s="17"/>
      <c r="H579" s="17"/>
    </row>
    <row r="580">
      <c r="A580" s="27"/>
      <c r="B580" s="12"/>
      <c r="C580" s="12"/>
      <c r="D580" s="12"/>
      <c r="G580" s="17"/>
      <c r="H580" s="17"/>
    </row>
    <row r="581">
      <c r="A581" s="27"/>
      <c r="B581" s="12"/>
      <c r="C581" s="12"/>
      <c r="D581" s="12"/>
      <c r="G581" s="17"/>
      <c r="H581" s="17"/>
    </row>
    <row r="582">
      <c r="A582" s="27"/>
      <c r="B582" s="12"/>
      <c r="C582" s="12"/>
      <c r="D582" s="12"/>
      <c r="G582" s="17"/>
      <c r="H582" s="17"/>
    </row>
    <row r="583">
      <c r="A583" s="27"/>
      <c r="B583" s="12"/>
      <c r="C583" s="12"/>
      <c r="D583" s="12"/>
      <c r="G583" s="17"/>
      <c r="H583" s="17"/>
    </row>
    <row r="584">
      <c r="A584" s="27"/>
      <c r="B584" s="12"/>
      <c r="C584" s="12"/>
      <c r="D584" s="12"/>
      <c r="G584" s="17"/>
      <c r="H584" s="17"/>
    </row>
    <row r="585">
      <c r="A585" s="27"/>
      <c r="B585" s="12"/>
      <c r="C585" s="12"/>
      <c r="D585" s="12"/>
      <c r="G585" s="17"/>
      <c r="H585" s="17"/>
    </row>
    <row r="586">
      <c r="A586" s="27"/>
      <c r="B586" s="12"/>
      <c r="C586" s="12"/>
      <c r="D586" s="12"/>
      <c r="G586" s="17"/>
      <c r="H586" s="17"/>
    </row>
    <row r="587">
      <c r="A587" s="27"/>
      <c r="B587" s="12"/>
      <c r="C587" s="12"/>
      <c r="D587" s="12"/>
      <c r="G587" s="17"/>
      <c r="H587" s="17"/>
    </row>
    <row r="588">
      <c r="A588" s="27"/>
      <c r="B588" s="12"/>
      <c r="C588" s="12"/>
      <c r="D588" s="12"/>
      <c r="G588" s="17"/>
      <c r="H588" s="17"/>
    </row>
    <row r="589">
      <c r="A589" s="27"/>
      <c r="B589" s="12"/>
      <c r="C589" s="12"/>
      <c r="D589" s="12"/>
      <c r="G589" s="17"/>
      <c r="H589" s="17"/>
    </row>
    <row r="590">
      <c r="A590" s="27"/>
      <c r="B590" s="12"/>
      <c r="C590" s="12"/>
      <c r="D590" s="12"/>
      <c r="G590" s="17"/>
      <c r="H590" s="17"/>
    </row>
    <row r="591">
      <c r="A591" s="27"/>
      <c r="B591" s="12"/>
      <c r="C591" s="12"/>
      <c r="D591" s="12"/>
      <c r="G591" s="17"/>
      <c r="H591" s="17"/>
    </row>
    <row r="592">
      <c r="A592" s="27"/>
      <c r="B592" s="12"/>
      <c r="C592" s="12"/>
      <c r="D592" s="12"/>
      <c r="G592" s="17"/>
      <c r="H592" s="17"/>
    </row>
    <row r="593">
      <c r="A593" s="27"/>
      <c r="B593" s="12"/>
      <c r="C593" s="12"/>
      <c r="D593" s="12"/>
      <c r="G593" s="17"/>
      <c r="H593" s="17"/>
    </row>
    <row r="594">
      <c r="A594" s="27"/>
      <c r="B594" s="12"/>
      <c r="C594" s="12"/>
      <c r="D594" s="12"/>
      <c r="G594" s="17"/>
      <c r="H594" s="17"/>
    </row>
    <row r="595">
      <c r="A595" s="27"/>
      <c r="B595" s="12"/>
      <c r="C595" s="12"/>
      <c r="D595" s="12"/>
      <c r="G595" s="17"/>
      <c r="H595" s="17"/>
    </row>
    <row r="596">
      <c r="A596" s="27"/>
      <c r="B596" s="12"/>
      <c r="C596" s="12"/>
      <c r="D596" s="12"/>
      <c r="G596" s="17"/>
      <c r="H596" s="17"/>
    </row>
    <row r="597">
      <c r="A597" s="27"/>
      <c r="B597" s="12"/>
      <c r="C597" s="12"/>
      <c r="D597" s="12"/>
      <c r="G597" s="17"/>
      <c r="H597" s="17"/>
    </row>
    <row r="598">
      <c r="A598" s="27"/>
      <c r="B598" s="12"/>
      <c r="C598" s="12"/>
      <c r="D598" s="12"/>
      <c r="G598" s="17"/>
      <c r="H598" s="17"/>
    </row>
    <row r="599">
      <c r="A599" s="27"/>
      <c r="B599" s="12"/>
      <c r="C599" s="12"/>
      <c r="D599" s="12"/>
      <c r="G599" s="17"/>
      <c r="H599" s="17"/>
    </row>
    <row r="600">
      <c r="A600" s="27"/>
      <c r="B600" s="12"/>
      <c r="C600" s="12"/>
      <c r="D600" s="12"/>
      <c r="G600" s="17"/>
      <c r="H600" s="17"/>
    </row>
    <row r="601">
      <c r="A601" s="27"/>
      <c r="B601" s="12"/>
      <c r="C601" s="12"/>
      <c r="D601" s="12"/>
      <c r="G601" s="17"/>
      <c r="H601" s="17"/>
    </row>
    <row r="602">
      <c r="A602" s="27"/>
      <c r="B602" s="12"/>
      <c r="C602" s="12"/>
      <c r="D602" s="12"/>
      <c r="G602" s="17"/>
      <c r="H602" s="17"/>
    </row>
    <row r="603">
      <c r="A603" s="27"/>
      <c r="B603" s="12"/>
      <c r="C603" s="12"/>
      <c r="D603" s="12"/>
      <c r="G603" s="17"/>
      <c r="H603" s="17"/>
    </row>
    <row r="604">
      <c r="A604" s="27"/>
      <c r="B604" s="12"/>
      <c r="C604" s="12"/>
      <c r="D604" s="12"/>
      <c r="G604" s="17"/>
      <c r="H604" s="17"/>
    </row>
    <row r="605">
      <c r="A605" s="27"/>
      <c r="B605" s="12"/>
      <c r="C605" s="12"/>
      <c r="D605" s="12"/>
      <c r="G605" s="17"/>
      <c r="H605" s="17"/>
    </row>
    <row r="606">
      <c r="A606" s="27"/>
      <c r="B606" s="12"/>
      <c r="C606" s="12"/>
      <c r="D606" s="12"/>
      <c r="G606" s="17"/>
      <c r="H606" s="17"/>
    </row>
    <row r="607">
      <c r="A607" s="27"/>
      <c r="B607" s="12"/>
      <c r="C607" s="12"/>
      <c r="D607" s="12"/>
      <c r="G607" s="17"/>
      <c r="H607" s="17"/>
    </row>
    <row r="608">
      <c r="A608" s="27"/>
      <c r="B608" s="12"/>
      <c r="C608" s="12"/>
      <c r="D608" s="12"/>
      <c r="G608" s="17"/>
      <c r="H608" s="17"/>
    </row>
    <row r="609">
      <c r="A609" s="27"/>
      <c r="B609" s="12"/>
      <c r="C609" s="12"/>
      <c r="D609" s="12"/>
      <c r="G609" s="17"/>
      <c r="H609" s="17"/>
    </row>
    <row r="610">
      <c r="A610" s="27"/>
      <c r="B610" s="12"/>
      <c r="C610" s="12"/>
      <c r="D610" s="12"/>
      <c r="G610" s="17"/>
      <c r="H610" s="17"/>
    </row>
    <row r="611">
      <c r="A611" s="27"/>
      <c r="B611" s="12"/>
      <c r="C611" s="12"/>
      <c r="D611" s="12"/>
      <c r="G611" s="17"/>
      <c r="H611" s="17"/>
    </row>
    <row r="612">
      <c r="A612" s="27"/>
      <c r="B612" s="12"/>
      <c r="C612" s="12"/>
      <c r="D612" s="12"/>
      <c r="G612" s="17"/>
      <c r="H612" s="17"/>
    </row>
    <row r="613">
      <c r="A613" s="27"/>
      <c r="B613" s="12"/>
      <c r="C613" s="12"/>
      <c r="D613" s="12"/>
      <c r="G613" s="17"/>
      <c r="H613" s="17"/>
    </row>
    <row r="614">
      <c r="A614" s="27"/>
      <c r="B614" s="12"/>
      <c r="C614" s="12"/>
      <c r="D614" s="12"/>
      <c r="G614" s="17"/>
      <c r="H614" s="17"/>
    </row>
    <row r="615">
      <c r="A615" s="27"/>
      <c r="B615" s="12"/>
      <c r="C615" s="12"/>
      <c r="D615" s="12"/>
      <c r="G615" s="17"/>
      <c r="H615" s="17"/>
    </row>
    <row r="616">
      <c r="A616" s="27"/>
      <c r="B616" s="12"/>
      <c r="C616" s="12"/>
      <c r="D616" s="12"/>
      <c r="G616" s="17"/>
      <c r="H616" s="17"/>
    </row>
    <row r="617">
      <c r="A617" s="27"/>
      <c r="B617" s="12"/>
      <c r="C617" s="12"/>
      <c r="D617" s="12"/>
      <c r="G617" s="17"/>
      <c r="H617" s="17"/>
    </row>
    <row r="618">
      <c r="A618" s="27"/>
      <c r="B618" s="12"/>
      <c r="C618" s="12"/>
      <c r="D618" s="12"/>
      <c r="G618" s="17"/>
      <c r="H618" s="17"/>
    </row>
    <row r="619">
      <c r="A619" s="27"/>
      <c r="B619" s="12"/>
      <c r="C619" s="12"/>
      <c r="D619" s="12"/>
      <c r="G619" s="17"/>
      <c r="H619" s="17"/>
    </row>
    <row r="620">
      <c r="A620" s="27"/>
      <c r="B620" s="12"/>
      <c r="C620" s="12"/>
      <c r="D620" s="12"/>
      <c r="G620" s="17"/>
      <c r="H620" s="17"/>
    </row>
    <row r="621">
      <c r="A621" s="27"/>
      <c r="B621" s="12"/>
      <c r="C621" s="12"/>
      <c r="D621" s="12"/>
      <c r="G621" s="17"/>
      <c r="H621" s="17"/>
    </row>
    <row r="622">
      <c r="A622" s="27"/>
      <c r="B622" s="12"/>
      <c r="C622" s="12"/>
      <c r="D622" s="12"/>
      <c r="G622" s="17"/>
      <c r="H622" s="17"/>
    </row>
    <row r="623">
      <c r="A623" s="27"/>
      <c r="B623" s="12"/>
      <c r="C623" s="12"/>
      <c r="D623" s="12"/>
      <c r="G623" s="17"/>
      <c r="H623" s="17"/>
    </row>
    <row r="624">
      <c r="A624" s="27"/>
      <c r="B624" s="12"/>
      <c r="C624" s="12"/>
      <c r="D624" s="12"/>
      <c r="G624" s="17"/>
      <c r="H624" s="17"/>
    </row>
    <row r="625">
      <c r="A625" s="27"/>
      <c r="B625" s="12"/>
      <c r="C625" s="12"/>
      <c r="D625" s="12"/>
      <c r="G625" s="17"/>
      <c r="H625" s="17"/>
    </row>
    <row r="626">
      <c r="A626" s="27"/>
      <c r="B626" s="12"/>
      <c r="C626" s="12"/>
      <c r="D626" s="12"/>
      <c r="G626" s="17"/>
      <c r="H626" s="17"/>
    </row>
    <row r="627">
      <c r="A627" s="27"/>
      <c r="B627" s="12"/>
      <c r="C627" s="12"/>
      <c r="D627" s="12"/>
      <c r="G627" s="17"/>
      <c r="H627" s="17"/>
    </row>
    <row r="628">
      <c r="A628" s="27"/>
      <c r="B628" s="12"/>
      <c r="C628" s="12"/>
      <c r="D628" s="12"/>
      <c r="G628" s="17"/>
      <c r="H628" s="17"/>
    </row>
    <row r="629">
      <c r="A629" s="27"/>
      <c r="B629" s="12"/>
      <c r="C629" s="12"/>
      <c r="D629" s="12"/>
      <c r="G629" s="17"/>
      <c r="H629" s="17"/>
    </row>
    <row r="630">
      <c r="A630" s="27"/>
      <c r="B630" s="12"/>
      <c r="C630" s="12"/>
      <c r="D630" s="12"/>
      <c r="G630" s="17"/>
      <c r="H630" s="17"/>
    </row>
    <row r="631">
      <c r="A631" s="27"/>
      <c r="B631" s="12"/>
      <c r="C631" s="12"/>
      <c r="D631" s="12"/>
      <c r="G631" s="17"/>
      <c r="H631" s="17"/>
    </row>
    <row r="632">
      <c r="A632" s="27"/>
      <c r="B632" s="12"/>
      <c r="C632" s="12"/>
      <c r="D632" s="12"/>
      <c r="G632" s="17"/>
      <c r="H632" s="17"/>
    </row>
    <row r="633">
      <c r="A633" s="27"/>
      <c r="B633" s="12"/>
      <c r="C633" s="12"/>
      <c r="D633" s="12"/>
      <c r="G633" s="17"/>
      <c r="H633" s="17"/>
    </row>
    <row r="634">
      <c r="A634" s="27"/>
      <c r="B634" s="12"/>
      <c r="C634" s="12"/>
      <c r="D634" s="12"/>
      <c r="G634" s="17"/>
      <c r="H634" s="17"/>
    </row>
    <row r="635">
      <c r="A635" s="27"/>
      <c r="B635" s="12"/>
      <c r="C635" s="12"/>
      <c r="D635" s="12"/>
      <c r="G635" s="17"/>
      <c r="H635" s="17"/>
    </row>
    <row r="636">
      <c r="A636" s="27"/>
      <c r="B636" s="12"/>
      <c r="C636" s="12"/>
      <c r="D636" s="12"/>
      <c r="G636" s="17"/>
      <c r="H636" s="17"/>
    </row>
    <row r="637">
      <c r="A637" s="27"/>
      <c r="B637" s="12"/>
      <c r="C637" s="12"/>
      <c r="D637" s="12"/>
      <c r="G637" s="17"/>
      <c r="H637" s="17"/>
    </row>
    <row r="638">
      <c r="A638" s="27"/>
      <c r="B638" s="12"/>
      <c r="C638" s="12"/>
      <c r="D638" s="12"/>
      <c r="G638" s="17"/>
      <c r="H638" s="17"/>
    </row>
    <row r="639">
      <c r="A639" s="27"/>
      <c r="B639" s="12"/>
      <c r="C639" s="12"/>
      <c r="D639" s="12"/>
      <c r="G639" s="17"/>
      <c r="H639" s="17"/>
    </row>
    <row r="640">
      <c r="A640" s="27"/>
      <c r="B640" s="12"/>
      <c r="C640" s="12"/>
      <c r="D640" s="12"/>
      <c r="G640" s="17"/>
      <c r="H640" s="17"/>
    </row>
    <row r="641">
      <c r="A641" s="27"/>
      <c r="B641" s="12"/>
      <c r="C641" s="12"/>
      <c r="D641" s="12"/>
      <c r="G641" s="17"/>
      <c r="H641" s="17"/>
    </row>
    <row r="642">
      <c r="A642" s="27"/>
      <c r="B642" s="12"/>
      <c r="C642" s="12"/>
      <c r="D642" s="12"/>
      <c r="G642" s="17"/>
      <c r="H642" s="17"/>
    </row>
    <row r="643">
      <c r="A643" s="27"/>
      <c r="B643" s="12"/>
      <c r="C643" s="12"/>
      <c r="D643" s="12"/>
      <c r="G643" s="17"/>
      <c r="H643" s="17"/>
    </row>
    <row r="644">
      <c r="A644" s="27"/>
      <c r="B644" s="12"/>
      <c r="C644" s="12"/>
      <c r="D644" s="12"/>
      <c r="G644" s="17"/>
      <c r="H644" s="17"/>
    </row>
    <row r="645">
      <c r="A645" s="27"/>
      <c r="B645" s="12"/>
      <c r="C645" s="12"/>
      <c r="D645" s="12"/>
      <c r="G645" s="17"/>
      <c r="H645" s="17"/>
    </row>
    <row r="646">
      <c r="A646" s="27"/>
      <c r="B646" s="12"/>
      <c r="C646" s="12"/>
      <c r="D646" s="12"/>
      <c r="G646" s="17"/>
      <c r="H646" s="17"/>
    </row>
    <row r="647">
      <c r="A647" s="27"/>
      <c r="B647" s="12"/>
      <c r="C647" s="12"/>
      <c r="D647" s="12"/>
      <c r="G647" s="17"/>
      <c r="H647" s="17"/>
    </row>
    <row r="648">
      <c r="A648" s="27"/>
      <c r="B648" s="12"/>
      <c r="C648" s="12"/>
      <c r="D648" s="12"/>
      <c r="G648" s="17"/>
      <c r="H648" s="17"/>
    </row>
    <row r="649">
      <c r="A649" s="27"/>
      <c r="B649" s="12"/>
      <c r="C649" s="12"/>
      <c r="D649" s="12"/>
      <c r="G649" s="17"/>
      <c r="H649" s="17"/>
    </row>
    <row r="650">
      <c r="A650" s="27"/>
      <c r="B650" s="12"/>
      <c r="C650" s="12"/>
      <c r="D650" s="12"/>
      <c r="G650" s="17"/>
      <c r="H650" s="17"/>
    </row>
    <row r="651">
      <c r="A651" s="27"/>
      <c r="B651" s="12"/>
      <c r="C651" s="12"/>
      <c r="D651" s="12"/>
      <c r="G651" s="17"/>
      <c r="H651" s="17"/>
    </row>
    <row r="652">
      <c r="A652" s="27"/>
      <c r="B652" s="12"/>
      <c r="C652" s="12"/>
      <c r="D652" s="12"/>
      <c r="G652" s="17"/>
      <c r="H652" s="17"/>
    </row>
    <row r="653">
      <c r="A653" s="27"/>
      <c r="B653" s="12"/>
      <c r="C653" s="12"/>
      <c r="D653" s="12"/>
      <c r="G653" s="17"/>
      <c r="H653" s="17"/>
    </row>
    <row r="654">
      <c r="A654" s="27"/>
      <c r="B654" s="12"/>
      <c r="C654" s="12"/>
      <c r="D654" s="12"/>
      <c r="G654" s="17"/>
      <c r="H654" s="17"/>
    </row>
    <row r="655">
      <c r="A655" s="27"/>
      <c r="B655" s="12"/>
      <c r="C655" s="12"/>
      <c r="D655" s="12"/>
      <c r="G655" s="17"/>
      <c r="H655" s="17"/>
    </row>
    <row r="656">
      <c r="A656" s="27"/>
      <c r="B656" s="12"/>
      <c r="C656" s="12"/>
      <c r="D656" s="12"/>
      <c r="G656" s="17"/>
      <c r="H656" s="17"/>
    </row>
    <row r="657">
      <c r="A657" s="27"/>
      <c r="B657" s="12"/>
      <c r="C657" s="12"/>
      <c r="D657" s="12"/>
      <c r="G657" s="17"/>
      <c r="H657" s="17"/>
    </row>
    <row r="658">
      <c r="A658" s="27"/>
      <c r="B658" s="12"/>
      <c r="C658" s="12"/>
      <c r="D658" s="12"/>
      <c r="G658" s="17"/>
      <c r="H658" s="17"/>
    </row>
    <row r="659">
      <c r="A659" s="27"/>
      <c r="B659" s="12"/>
      <c r="C659" s="12"/>
      <c r="D659" s="12"/>
      <c r="G659" s="17"/>
      <c r="H659" s="17"/>
    </row>
    <row r="660">
      <c r="A660" s="27"/>
      <c r="B660" s="12"/>
      <c r="C660" s="12"/>
      <c r="D660" s="12"/>
      <c r="G660" s="17"/>
      <c r="H660" s="17"/>
    </row>
    <row r="661">
      <c r="A661" s="27"/>
      <c r="B661" s="12"/>
      <c r="C661" s="12"/>
      <c r="D661" s="12"/>
      <c r="G661" s="17"/>
      <c r="H661" s="17"/>
    </row>
    <row r="662">
      <c r="A662" s="27"/>
      <c r="B662" s="12"/>
      <c r="C662" s="12"/>
      <c r="D662" s="12"/>
      <c r="G662" s="17"/>
      <c r="H662" s="17"/>
    </row>
    <row r="663">
      <c r="A663" s="27"/>
      <c r="B663" s="12"/>
      <c r="C663" s="12"/>
      <c r="D663" s="12"/>
      <c r="G663" s="17"/>
      <c r="H663" s="17"/>
    </row>
    <row r="664">
      <c r="A664" s="27"/>
      <c r="B664" s="12"/>
      <c r="C664" s="12"/>
      <c r="D664" s="12"/>
      <c r="G664" s="17"/>
      <c r="H664" s="17"/>
    </row>
    <row r="665">
      <c r="A665" s="27"/>
      <c r="B665" s="12"/>
      <c r="C665" s="12"/>
      <c r="D665" s="12"/>
      <c r="G665" s="17"/>
      <c r="H665" s="17"/>
    </row>
    <row r="666">
      <c r="A666" s="27"/>
      <c r="B666" s="12"/>
      <c r="C666" s="12"/>
      <c r="D666" s="12"/>
      <c r="G666" s="17"/>
      <c r="H666" s="17"/>
    </row>
    <row r="667">
      <c r="A667" s="27"/>
      <c r="B667" s="12"/>
      <c r="C667" s="12"/>
      <c r="D667" s="12"/>
      <c r="G667" s="17"/>
      <c r="H667" s="17"/>
    </row>
    <row r="668">
      <c r="A668" s="27"/>
      <c r="B668" s="12"/>
      <c r="C668" s="12"/>
      <c r="D668" s="12"/>
      <c r="G668" s="17"/>
      <c r="H668" s="17"/>
    </row>
    <row r="669">
      <c r="A669" s="27"/>
      <c r="B669" s="12"/>
      <c r="C669" s="12"/>
      <c r="D669" s="12"/>
      <c r="G669" s="17"/>
      <c r="H669" s="17"/>
    </row>
    <row r="670">
      <c r="A670" s="27"/>
      <c r="B670" s="12"/>
      <c r="C670" s="12"/>
      <c r="D670" s="12"/>
      <c r="G670" s="17"/>
      <c r="H670" s="17"/>
    </row>
    <row r="671">
      <c r="A671" s="27"/>
      <c r="B671" s="12"/>
      <c r="C671" s="12"/>
      <c r="D671" s="12"/>
      <c r="G671" s="17"/>
      <c r="H671" s="17"/>
    </row>
    <row r="672">
      <c r="A672" s="27"/>
      <c r="B672" s="12"/>
      <c r="C672" s="12"/>
      <c r="D672" s="12"/>
      <c r="G672" s="17"/>
      <c r="H672" s="17"/>
    </row>
    <row r="673">
      <c r="A673" s="27"/>
      <c r="B673" s="12"/>
      <c r="C673" s="12"/>
      <c r="D673" s="12"/>
      <c r="G673" s="17"/>
      <c r="H673" s="17"/>
    </row>
    <row r="674">
      <c r="A674" s="27"/>
      <c r="B674" s="12"/>
      <c r="C674" s="12"/>
      <c r="D674" s="12"/>
      <c r="G674" s="17"/>
      <c r="H674" s="17"/>
    </row>
    <row r="675">
      <c r="A675" s="27"/>
      <c r="B675" s="12"/>
      <c r="C675" s="12"/>
      <c r="D675" s="12"/>
      <c r="G675" s="17"/>
      <c r="H675" s="17"/>
    </row>
    <row r="676">
      <c r="A676" s="27"/>
      <c r="B676" s="12"/>
      <c r="C676" s="12"/>
      <c r="D676" s="12"/>
      <c r="G676" s="17"/>
      <c r="H676" s="17"/>
    </row>
    <row r="677">
      <c r="A677" s="27"/>
      <c r="B677" s="12"/>
      <c r="C677" s="12"/>
      <c r="D677" s="12"/>
      <c r="G677" s="17"/>
      <c r="H677" s="17"/>
    </row>
    <row r="678">
      <c r="A678" s="27"/>
      <c r="B678" s="12"/>
      <c r="C678" s="12"/>
      <c r="D678" s="12"/>
      <c r="G678" s="17"/>
      <c r="H678" s="17"/>
    </row>
    <row r="679">
      <c r="A679" s="27"/>
      <c r="B679" s="12"/>
      <c r="C679" s="12"/>
      <c r="D679" s="12"/>
      <c r="G679" s="17"/>
      <c r="H679" s="17"/>
    </row>
    <row r="680">
      <c r="A680" s="27"/>
      <c r="B680" s="12"/>
      <c r="C680" s="12"/>
      <c r="D680" s="12"/>
      <c r="G680" s="17"/>
      <c r="H680" s="17"/>
    </row>
    <row r="681">
      <c r="A681" s="27"/>
      <c r="B681" s="12"/>
      <c r="C681" s="12"/>
      <c r="D681" s="12"/>
      <c r="G681" s="17"/>
      <c r="H681" s="17"/>
    </row>
    <row r="682">
      <c r="A682" s="27"/>
      <c r="B682" s="12"/>
      <c r="C682" s="12"/>
      <c r="D682" s="12"/>
      <c r="G682" s="17"/>
      <c r="H682" s="17"/>
    </row>
    <row r="683">
      <c r="A683" s="27"/>
      <c r="B683" s="12"/>
      <c r="C683" s="12"/>
      <c r="D683" s="12"/>
      <c r="G683" s="17"/>
      <c r="H683" s="17"/>
    </row>
    <row r="684">
      <c r="A684" s="27"/>
      <c r="B684" s="12"/>
      <c r="C684" s="12"/>
      <c r="D684" s="12"/>
      <c r="G684" s="17"/>
      <c r="H684" s="17"/>
    </row>
    <row r="685">
      <c r="A685" s="27"/>
      <c r="B685" s="12"/>
      <c r="C685" s="12"/>
      <c r="D685" s="12"/>
      <c r="G685" s="17"/>
      <c r="H685" s="17"/>
    </row>
    <row r="686">
      <c r="A686" s="27"/>
      <c r="B686" s="12"/>
      <c r="C686" s="12"/>
      <c r="D686" s="12"/>
      <c r="G686" s="17"/>
      <c r="H686" s="17"/>
    </row>
    <row r="687">
      <c r="A687" s="27"/>
      <c r="B687" s="12"/>
      <c r="C687" s="12"/>
      <c r="D687" s="12"/>
      <c r="G687" s="17"/>
      <c r="H687" s="17"/>
    </row>
    <row r="688">
      <c r="A688" s="27"/>
      <c r="B688" s="12"/>
      <c r="C688" s="12"/>
      <c r="D688" s="12"/>
      <c r="G688" s="17"/>
      <c r="H688" s="17"/>
    </row>
    <row r="689">
      <c r="A689" s="27"/>
      <c r="B689" s="12"/>
      <c r="C689" s="12"/>
      <c r="D689" s="12"/>
      <c r="G689" s="17"/>
      <c r="H689" s="17"/>
    </row>
    <row r="690">
      <c r="A690" s="27"/>
      <c r="B690" s="12"/>
      <c r="C690" s="12"/>
      <c r="D690" s="12"/>
      <c r="G690" s="17"/>
      <c r="H690" s="17"/>
    </row>
    <row r="691">
      <c r="A691" s="27"/>
      <c r="B691" s="12"/>
      <c r="C691" s="12"/>
      <c r="D691" s="12"/>
      <c r="G691" s="17"/>
      <c r="H691" s="17"/>
    </row>
    <row r="692">
      <c r="A692" s="27"/>
      <c r="B692" s="12"/>
      <c r="C692" s="12"/>
      <c r="D692" s="12"/>
      <c r="G692" s="17"/>
      <c r="H692" s="17"/>
    </row>
    <row r="693">
      <c r="A693" s="27"/>
      <c r="B693" s="12"/>
      <c r="C693" s="12"/>
      <c r="D693" s="12"/>
      <c r="G693" s="17"/>
      <c r="H693" s="17"/>
    </row>
    <row r="694">
      <c r="A694" s="27"/>
      <c r="B694" s="12"/>
      <c r="C694" s="12"/>
      <c r="D694" s="12"/>
      <c r="G694" s="17"/>
      <c r="H694" s="17"/>
    </row>
    <row r="695">
      <c r="A695" s="27"/>
      <c r="B695" s="12"/>
      <c r="C695" s="12"/>
      <c r="D695" s="12"/>
      <c r="G695" s="17"/>
      <c r="H695" s="17"/>
    </row>
    <row r="696">
      <c r="A696" s="27"/>
      <c r="B696" s="12"/>
      <c r="C696" s="12"/>
      <c r="D696" s="12"/>
      <c r="G696" s="17"/>
      <c r="H696" s="17"/>
    </row>
    <row r="697">
      <c r="A697" s="27"/>
      <c r="B697" s="12"/>
      <c r="C697" s="12"/>
      <c r="D697" s="12"/>
      <c r="G697" s="17"/>
      <c r="H697" s="17"/>
    </row>
    <row r="698">
      <c r="A698" s="27"/>
      <c r="B698" s="12"/>
      <c r="C698" s="12"/>
      <c r="D698" s="12"/>
      <c r="G698" s="17"/>
      <c r="H698" s="17"/>
    </row>
    <row r="699">
      <c r="A699" s="27"/>
      <c r="B699" s="12"/>
      <c r="C699" s="12"/>
      <c r="D699" s="12"/>
      <c r="G699" s="17"/>
      <c r="H699" s="17"/>
    </row>
    <row r="700">
      <c r="A700" s="27"/>
      <c r="B700" s="12"/>
      <c r="C700" s="12"/>
      <c r="D700" s="12"/>
      <c r="G700" s="17"/>
      <c r="H700" s="17"/>
    </row>
    <row r="701">
      <c r="A701" s="27"/>
      <c r="B701" s="12"/>
      <c r="C701" s="12"/>
      <c r="D701" s="12"/>
      <c r="G701" s="17"/>
      <c r="H701" s="17"/>
    </row>
    <row r="702">
      <c r="A702" s="27"/>
      <c r="B702" s="12"/>
      <c r="C702" s="12"/>
      <c r="D702" s="12"/>
      <c r="G702" s="17"/>
      <c r="H702" s="17"/>
    </row>
    <row r="703">
      <c r="A703" s="27"/>
      <c r="B703" s="12"/>
      <c r="C703" s="12"/>
      <c r="D703" s="12"/>
      <c r="G703" s="17"/>
      <c r="H703" s="17"/>
    </row>
    <row r="704">
      <c r="A704" s="27"/>
      <c r="B704" s="12"/>
      <c r="C704" s="12"/>
      <c r="D704" s="12"/>
      <c r="G704" s="17"/>
      <c r="H704" s="17"/>
    </row>
    <row r="705">
      <c r="A705" s="27"/>
      <c r="B705" s="12"/>
      <c r="C705" s="12"/>
      <c r="D705" s="12"/>
      <c r="G705" s="17"/>
      <c r="H705" s="17"/>
    </row>
    <row r="706">
      <c r="A706" s="27"/>
      <c r="B706" s="12"/>
      <c r="C706" s="12"/>
      <c r="D706" s="12"/>
      <c r="G706" s="17"/>
      <c r="H706" s="17"/>
    </row>
    <row r="707">
      <c r="A707" s="27"/>
      <c r="B707" s="12"/>
      <c r="C707" s="12"/>
      <c r="D707" s="12"/>
      <c r="G707" s="17"/>
      <c r="H707" s="17"/>
    </row>
    <row r="708">
      <c r="A708" s="27"/>
      <c r="B708" s="12"/>
      <c r="C708" s="12"/>
      <c r="D708" s="12"/>
      <c r="G708" s="17"/>
      <c r="H708" s="17"/>
    </row>
    <row r="709">
      <c r="A709" s="27"/>
      <c r="B709" s="12"/>
      <c r="C709" s="12"/>
      <c r="D709" s="12"/>
      <c r="G709" s="17"/>
      <c r="H709" s="17"/>
    </row>
    <row r="710">
      <c r="A710" s="27"/>
      <c r="B710" s="12"/>
      <c r="C710" s="12"/>
      <c r="D710" s="12"/>
      <c r="G710" s="17"/>
      <c r="H710" s="17"/>
    </row>
    <row r="711">
      <c r="A711" s="27"/>
      <c r="B711" s="12"/>
      <c r="C711" s="12"/>
      <c r="D711" s="12"/>
      <c r="G711" s="17"/>
      <c r="H711" s="17"/>
    </row>
    <row r="712">
      <c r="A712" s="27"/>
      <c r="B712" s="12"/>
      <c r="C712" s="12"/>
      <c r="D712" s="12"/>
      <c r="G712" s="17"/>
      <c r="H712" s="17"/>
    </row>
    <row r="713">
      <c r="A713" s="27"/>
      <c r="B713" s="12"/>
      <c r="C713" s="12"/>
      <c r="D713" s="12"/>
      <c r="G713" s="17"/>
      <c r="H713" s="17"/>
    </row>
    <row r="714">
      <c r="A714" s="27"/>
      <c r="B714" s="12"/>
      <c r="C714" s="12"/>
      <c r="D714" s="12"/>
      <c r="G714" s="17"/>
      <c r="H714" s="17"/>
    </row>
    <row r="715">
      <c r="A715" s="27"/>
      <c r="B715" s="12"/>
      <c r="C715" s="12"/>
      <c r="D715" s="12"/>
      <c r="G715" s="17"/>
      <c r="H715" s="17"/>
    </row>
    <row r="716">
      <c r="A716" s="27"/>
      <c r="B716" s="12"/>
      <c r="C716" s="12"/>
      <c r="D716" s="12"/>
      <c r="G716" s="17"/>
      <c r="H716" s="17"/>
    </row>
    <row r="717">
      <c r="A717" s="27"/>
      <c r="B717" s="12"/>
      <c r="C717" s="12"/>
      <c r="D717" s="12"/>
      <c r="G717" s="17"/>
      <c r="H717" s="17"/>
    </row>
    <row r="718">
      <c r="A718" s="27"/>
      <c r="B718" s="12"/>
      <c r="C718" s="12"/>
      <c r="D718" s="12"/>
      <c r="G718" s="17"/>
      <c r="H718" s="17"/>
    </row>
    <row r="719">
      <c r="A719" s="27"/>
      <c r="B719" s="12"/>
      <c r="C719" s="12"/>
      <c r="D719" s="12"/>
      <c r="G719" s="17"/>
      <c r="H719" s="17"/>
    </row>
    <row r="720">
      <c r="A720" s="27"/>
      <c r="B720" s="12"/>
      <c r="C720" s="12"/>
      <c r="D720" s="12"/>
      <c r="G720" s="17"/>
      <c r="H720" s="17"/>
    </row>
    <row r="721">
      <c r="A721" s="27"/>
      <c r="B721" s="12"/>
      <c r="C721" s="12"/>
      <c r="D721" s="12"/>
      <c r="G721" s="17"/>
      <c r="H721" s="17"/>
    </row>
    <row r="722">
      <c r="A722" s="27"/>
      <c r="B722" s="12"/>
      <c r="C722" s="12"/>
      <c r="D722" s="12"/>
      <c r="G722" s="17"/>
      <c r="H722" s="17"/>
    </row>
    <row r="723">
      <c r="A723" s="27"/>
      <c r="B723" s="12"/>
      <c r="C723" s="12"/>
      <c r="D723" s="12"/>
      <c r="G723" s="17"/>
      <c r="H723" s="17"/>
    </row>
    <row r="724">
      <c r="A724" s="27"/>
      <c r="B724" s="12"/>
      <c r="C724" s="12"/>
      <c r="D724" s="12"/>
      <c r="G724" s="17"/>
      <c r="H724" s="17"/>
    </row>
    <row r="725">
      <c r="A725" s="27"/>
      <c r="B725" s="12"/>
      <c r="C725" s="12"/>
      <c r="D725" s="12"/>
      <c r="G725" s="17"/>
      <c r="H725" s="17"/>
    </row>
    <row r="726">
      <c r="A726" s="27"/>
      <c r="B726" s="12"/>
      <c r="C726" s="12"/>
      <c r="D726" s="12"/>
      <c r="G726" s="17"/>
      <c r="H726" s="17"/>
    </row>
    <row r="727">
      <c r="A727" s="27"/>
      <c r="B727" s="12"/>
      <c r="C727" s="12"/>
      <c r="D727" s="12"/>
      <c r="G727" s="17"/>
      <c r="H727" s="17"/>
    </row>
    <row r="728">
      <c r="A728" s="27"/>
      <c r="B728" s="12"/>
      <c r="C728" s="12"/>
      <c r="D728" s="12"/>
      <c r="G728" s="17"/>
      <c r="H728" s="17"/>
    </row>
    <row r="729">
      <c r="A729" s="27"/>
      <c r="B729" s="12"/>
      <c r="C729" s="12"/>
      <c r="D729" s="12"/>
      <c r="G729" s="17"/>
      <c r="H729" s="17"/>
    </row>
    <row r="730">
      <c r="A730" s="27"/>
      <c r="B730" s="12"/>
      <c r="C730" s="12"/>
      <c r="D730" s="12"/>
      <c r="G730" s="17"/>
      <c r="H730" s="17"/>
    </row>
    <row r="731">
      <c r="A731" s="27"/>
      <c r="B731" s="12"/>
      <c r="C731" s="12"/>
      <c r="D731" s="12"/>
      <c r="G731" s="17"/>
      <c r="H731" s="17"/>
    </row>
    <row r="732">
      <c r="A732" s="27"/>
      <c r="B732" s="12"/>
      <c r="C732" s="12"/>
      <c r="D732" s="12"/>
      <c r="G732" s="17"/>
      <c r="H732" s="17"/>
    </row>
    <row r="733">
      <c r="A733" s="27"/>
      <c r="B733" s="12"/>
      <c r="C733" s="12"/>
      <c r="D733" s="12"/>
      <c r="G733" s="17"/>
      <c r="H733" s="17"/>
    </row>
    <row r="734">
      <c r="A734" s="27"/>
      <c r="B734" s="12"/>
      <c r="C734" s="12"/>
      <c r="D734" s="12"/>
      <c r="G734" s="17"/>
      <c r="H734" s="17"/>
    </row>
    <row r="735">
      <c r="A735" s="27"/>
      <c r="B735" s="12"/>
      <c r="C735" s="12"/>
      <c r="D735" s="12"/>
      <c r="G735" s="17"/>
      <c r="H735" s="17"/>
    </row>
    <row r="736">
      <c r="A736" s="27"/>
      <c r="B736" s="12"/>
      <c r="C736" s="12"/>
      <c r="D736" s="12"/>
      <c r="G736" s="17"/>
      <c r="H736" s="17"/>
    </row>
    <row r="737">
      <c r="A737" s="27"/>
      <c r="B737" s="12"/>
      <c r="C737" s="12"/>
      <c r="D737" s="12"/>
      <c r="G737" s="17"/>
      <c r="H737" s="17"/>
    </row>
    <row r="738">
      <c r="A738" s="27"/>
      <c r="B738" s="12"/>
      <c r="C738" s="12"/>
      <c r="D738" s="12"/>
      <c r="G738" s="17"/>
      <c r="H738" s="17"/>
    </row>
    <row r="739">
      <c r="A739" s="27"/>
      <c r="B739" s="12"/>
      <c r="C739" s="12"/>
      <c r="D739" s="12"/>
      <c r="G739" s="17"/>
      <c r="H739" s="17"/>
    </row>
    <row r="740">
      <c r="A740" s="27"/>
      <c r="B740" s="12"/>
      <c r="C740" s="12"/>
      <c r="D740" s="12"/>
      <c r="G740" s="17"/>
      <c r="H740" s="17"/>
    </row>
    <row r="741">
      <c r="A741" s="27"/>
      <c r="B741" s="12"/>
      <c r="C741" s="12"/>
      <c r="D741" s="12"/>
      <c r="G741" s="17"/>
      <c r="H741" s="17"/>
    </row>
    <row r="742">
      <c r="A742" s="27"/>
      <c r="B742" s="12"/>
      <c r="C742" s="12"/>
      <c r="D742" s="12"/>
      <c r="G742" s="17"/>
      <c r="H742" s="17"/>
    </row>
    <row r="743">
      <c r="A743" s="27"/>
      <c r="B743" s="12"/>
      <c r="C743" s="12"/>
      <c r="D743" s="12"/>
      <c r="G743" s="17"/>
      <c r="H743" s="17"/>
    </row>
    <row r="744">
      <c r="A744" s="27"/>
      <c r="B744" s="12"/>
      <c r="C744" s="12"/>
      <c r="D744" s="12"/>
      <c r="G744" s="17"/>
      <c r="H744" s="17"/>
    </row>
    <row r="745">
      <c r="A745" s="27"/>
      <c r="B745" s="12"/>
      <c r="C745" s="12"/>
      <c r="D745" s="12"/>
      <c r="G745" s="17"/>
      <c r="H745" s="17"/>
    </row>
    <row r="746">
      <c r="A746" s="27"/>
      <c r="B746" s="12"/>
      <c r="C746" s="12"/>
      <c r="D746" s="12"/>
      <c r="G746" s="17"/>
      <c r="H746" s="17"/>
    </row>
    <row r="747">
      <c r="A747" s="27"/>
      <c r="B747" s="12"/>
      <c r="C747" s="12"/>
      <c r="D747" s="12"/>
      <c r="G747" s="17"/>
      <c r="H747" s="17"/>
    </row>
    <row r="748">
      <c r="A748" s="27"/>
      <c r="B748" s="12"/>
      <c r="C748" s="12"/>
      <c r="D748" s="12"/>
      <c r="G748" s="17"/>
      <c r="H748" s="17"/>
    </row>
    <row r="749">
      <c r="A749" s="27"/>
      <c r="B749" s="12"/>
      <c r="C749" s="12"/>
      <c r="D749" s="12"/>
      <c r="G749" s="17"/>
      <c r="H749" s="17"/>
    </row>
    <row r="750">
      <c r="A750" s="27"/>
      <c r="B750" s="12"/>
      <c r="C750" s="12"/>
      <c r="D750" s="12"/>
      <c r="G750" s="17"/>
      <c r="H750" s="17"/>
    </row>
    <row r="751">
      <c r="A751" s="27"/>
      <c r="B751" s="12"/>
      <c r="C751" s="12"/>
      <c r="D751" s="12"/>
      <c r="G751" s="17"/>
      <c r="H751" s="17"/>
    </row>
    <row r="752">
      <c r="A752" s="27"/>
      <c r="B752" s="12"/>
      <c r="C752" s="12"/>
      <c r="D752" s="12"/>
      <c r="G752" s="17"/>
      <c r="H752" s="17"/>
    </row>
    <row r="753">
      <c r="A753" s="27"/>
      <c r="B753" s="12"/>
      <c r="C753" s="12"/>
      <c r="D753" s="12"/>
      <c r="G753" s="17"/>
      <c r="H753" s="17"/>
    </row>
    <row r="754">
      <c r="A754" s="27"/>
      <c r="B754" s="12"/>
      <c r="C754" s="12"/>
      <c r="D754" s="12"/>
      <c r="G754" s="17"/>
      <c r="H754" s="17"/>
    </row>
    <row r="755">
      <c r="A755" s="27"/>
      <c r="B755" s="12"/>
      <c r="C755" s="12"/>
      <c r="D755" s="12"/>
      <c r="G755" s="17"/>
      <c r="H755" s="17"/>
    </row>
    <row r="756">
      <c r="A756" s="27"/>
      <c r="B756" s="12"/>
      <c r="C756" s="12"/>
      <c r="D756" s="12"/>
      <c r="G756" s="17"/>
      <c r="H756" s="17"/>
    </row>
    <row r="757">
      <c r="A757" s="27"/>
      <c r="B757" s="12"/>
      <c r="C757" s="12"/>
      <c r="D757" s="12"/>
      <c r="G757" s="17"/>
      <c r="H757" s="17"/>
    </row>
    <row r="758">
      <c r="A758" s="27"/>
      <c r="B758" s="12"/>
      <c r="C758" s="12"/>
      <c r="D758" s="12"/>
      <c r="G758" s="17"/>
      <c r="H758" s="17"/>
    </row>
    <row r="759">
      <c r="A759" s="27"/>
      <c r="B759" s="12"/>
      <c r="C759" s="12"/>
      <c r="D759" s="12"/>
      <c r="G759" s="17"/>
      <c r="H759" s="17"/>
    </row>
    <row r="760">
      <c r="A760" s="27"/>
      <c r="B760" s="12"/>
      <c r="C760" s="12"/>
      <c r="D760" s="12"/>
      <c r="G760" s="17"/>
      <c r="H760" s="17"/>
    </row>
    <row r="761">
      <c r="A761" s="27"/>
      <c r="B761" s="12"/>
      <c r="C761" s="12"/>
      <c r="D761" s="12"/>
      <c r="G761" s="17"/>
      <c r="H761" s="17"/>
    </row>
    <row r="762">
      <c r="A762" s="27"/>
      <c r="B762" s="12"/>
      <c r="C762" s="12"/>
      <c r="D762" s="12"/>
      <c r="G762" s="17"/>
      <c r="H762" s="17"/>
    </row>
    <row r="763">
      <c r="A763" s="27"/>
      <c r="B763" s="12"/>
      <c r="C763" s="12"/>
      <c r="D763" s="12"/>
      <c r="G763" s="17"/>
      <c r="H763" s="17"/>
    </row>
    <row r="764">
      <c r="A764" s="27"/>
      <c r="B764" s="12"/>
      <c r="C764" s="12"/>
      <c r="D764" s="12"/>
      <c r="G764" s="17"/>
      <c r="H764" s="17"/>
    </row>
    <row r="765">
      <c r="A765" s="27"/>
      <c r="B765" s="12"/>
      <c r="C765" s="12"/>
      <c r="D765" s="12"/>
      <c r="G765" s="17"/>
      <c r="H765" s="17"/>
    </row>
    <row r="766">
      <c r="A766" s="27"/>
      <c r="B766" s="12"/>
      <c r="C766" s="12"/>
      <c r="D766" s="12"/>
      <c r="G766" s="17"/>
      <c r="H766" s="17"/>
    </row>
    <row r="767">
      <c r="A767" s="27"/>
      <c r="B767" s="12"/>
      <c r="C767" s="12"/>
      <c r="D767" s="12"/>
      <c r="G767" s="17"/>
      <c r="H767" s="17"/>
    </row>
    <row r="768">
      <c r="A768" s="27"/>
      <c r="B768" s="12"/>
      <c r="C768" s="12"/>
      <c r="D768" s="12"/>
      <c r="G768" s="17"/>
      <c r="H768" s="17"/>
    </row>
    <row r="769">
      <c r="A769" s="27"/>
      <c r="B769" s="12"/>
      <c r="C769" s="12"/>
      <c r="D769" s="12"/>
      <c r="G769" s="17"/>
      <c r="H769" s="17"/>
    </row>
    <row r="770">
      <c r="A770" s="27"/>
      <c r="B770" s="12"/>
      <c r="C770" s="12"/>
      <c r="D770" s="12"/>
      <c r="G770" s="17"/>
      <c r="H770" s="17"/>
    </row>
    <row r="771">
      <c r="A771" s="27"/>
      <c r="B771" s="12"/>
      <c r="C771" s="12"/>
      <c r="D771" s="12"/>
      <c r="G771" s="17"/>
      <c r="H771" s="17"/>
    </row>
    <row r="772">
      <c r="A772" s="27"/>
      <c r="B772" s="12"/>
      <c r="C772" s="12"/>
      <c r="D772" s="12"/>
      <c r="G772" s="17"/>
      <c r="H772" s="17"/>
    </row>
    <row r="773">
      <c r="A773" s="27"/>
      <c r="B773" s="12"/>
      <c r="C773" s="12"/>
      <c r="D773" s="12"/>
      <c r="G773" s="17"/>
      <c r="H773" s="17"/>
    </row>
    <row r="774">
      <c r="A774" s="27"/>
      <c r="B774" s="12"/>
      <c r="C774" s="12"/>
      <c r="D774" s="12"/>
      <c r="G774" s="17"/>
      <c r="H774" s="17"/>
    </row>
    <row r="775">
      <c r="A775" s="27"/>
      <c r="B775" s="12"/>
      <c r="C775" s="12"/>
      <c r="D775" s="12"/>
      <c r="G775" s="17"/>
      <c r="H775" s="17"/>
    </row>
    <row r="776">
      <c r="A776" s="27"/>
      <c r="B776" s="12"/>
      <c r="C776" s="12"/>
      <c r="D776" s="12"/>
      <c r="G776" s="17"/>
      <c r="H776" s="17"/>
    </row>
    <row r="777">
      <c r="A777" s="27"/>
      <c r="B777" s="12"/>
      <c r="C777" s="12"/>
      <c r="D777" s="12"/>
      <c r="G777" s="17"/>
      <c r="H777" s="17"/>
    </row>
    <row r="778">
      <c r="A778" s="27"/>
      <c r="B778" s="12"/>
      <c r="C778" s="12"/>
      <c r="D778" s="12"/>
      <c r="G778" s="17"/>
      <c r="H778" s="17"/>
    </row>
    <row r="779">
      <c r="A779" s="27"/>
      <c r="B779" s="12"/>
      <c r="C779" s="12"/>
      <c r="D779" s="12"/>
      <c r="G779" s="17"/>
      <c r="H779" s="17"/>
    </row>
    <row r="780">
      <c r="A780" s="27"/>
      <c r="B780" s="12"/>
      <c r="C780" s="12"/>
      <c r="D780" s="12"/>
      <c r="G780" s="17"/>
      <c r="H780" s="17"/>
    </row>
    <row r="781">
      <c r="A781" s="27"/>
      <c r="B781" s="12"/>
      <c r="C781" s="12"/>
      <c r="D781" s="12"/>
      <c r="G781" s="17"/>
      <c r="H781" s="17"/>
    </row>
    <row r="782">
      <c r="A782" s="27"/>
      <c r="B782" s="12"/>
      <c r="C782" s="12"/>
      <c r="D782" s="12"/>
      <c r="G782" s="17"/>
      <c r="H782" s="17"/>
    </row>
    <row r="783">
      <c r="A783" s="27"/>
      <c r="B783" s="12"/>
      <c r="C783" s="12"/>
      <c r="D783" s="12"/>
      <c r="G783" s="17"/>
      <c r="H783" s="17"/>
    </row>
    <row r="784">
      <c r="A784" s="27"/>
      <c r="B784" s="12"/>
      <c r="C784" s="12"/>
      <c r="D784" s="12"/>
      <c r="G784" s="17"/>
      <c r="H784" s="17"/>
    </row>
    <row r="785">
      <c r="A785" s="27"/>
      <c r="B785" s="12"/>
      <c r="C785" s="12"/>
      <c r="D785" s="12"/>
      <c r="G785" s="17"/>
      <c r="H785" s="17"/>
    </row>
    <row r="786">
      <c r="A786" s="27"/>
      <c r="B786" s="12"/>
      <c r="C786" s="12"/>
      <c r="D786" s="12"/>
      <c r="G786" s="17"/>
      <c r="H786" s="17"/>
    </row>
    <row r="787">
      <c r="A787" s="27"/>
      <c r="B787" s="12"/>
      <c r="C787" s="12"/>
      <c r="D787" s="12"/>
      <c r="G787" s="17"/>
      <c r="H787" s="17"/>
    </row>
    <row r="788">
      <c r="A788" s="27"/>
      <c r="B788" s="12"/>
      <c r="C788" s="12"/>
      <c r="D788" s="12"/>
      <c r="G788" s="17"/>
      <c r="H788" s="17"/>
    </row>
    <row r="789">
      <c r="A789" s="27"/>
      <c r="B789" s="12"/>
      <c r="C789" s="12"/>
      <c r="D789" s="12"/>
      <c r="G789" s="17"/>
      <c r="H789" s="17"/>
    </row>
    <row r="790">
      <c r="A790" s="27"/>
      <c r="B790" s="12"/>
      <c r="C790" s="12"/>
      <c r="D790" s="12"/>
      <c r="G790" s="17"/>
      <c r="H790" s="17"/>
    </row>
    <row r="791">
      <c r="A791" s="27"/>
      <c r="B791" s="12"/>
      <c r="C791" s="12"/>
      <c r="D791" s="12"/>
      <c r="G791" s="17"/>
      <c r="H791" s="17"/>
    </row>
    <row r="792">
      <c r="A792" s="27"/>
      <c r="B792" s="12"/>
      <c r="C792" s="12"/>
      <c r="D792" s="12"/>
      <c r="G792" s="17"/>
      <c r="H792" s="17"/>
    </row>
    <row r="793">
      <c r="A793" s="27"/>
      <c r="B793" s="12"/>
      <c r="C793" s="12"/>
      <c r="D793" s="12"/>
      <c r="G793" s="17"/>
      <c r="H793" s="17"/>
    </row>
    <row r="794">
      <c r="A794" s="27"/>
      <c r="B794" s="12"/>
      <c r="C794" s="12"/>
      <c r="D794" s="12"/>
      <c r="G794" s="17"/>
      <c r="H794" s="17"/>
    </row>
    <row r="795">
      <c r="A795" s="27"/>
      <c r="B795" s="12"/>
      <c r="C795" s="12"/>
      <c r="D795" s="12"/>
      <c r="G795" s="17"/>
      <c r="H795" s="17"/>
    </row>
    <row r="796">
      <c r="A796" s="27"/>
      <c r="B796" s="12"/>
      <c r="C796" s="12"/>
      <c r="D796" s="12"/>
      <c r="G796" s="17"/>
      <c r="H796" s="17"/>
    </row>
    <row r="797">
      <c r="A797" s="27"/>
      <c r="B797" s="12"/>
      <c r="C797" s="12"/>
      <c r="D797" s="12"/>
      <c r="G797" s="17"/>
      <c r="H797" s="17"/>
    </row>
    <row r="798">
      <c r="A798" s="27"/>
      <c r="B798" s="12"/>
      <c r="C798" s="12"/>
      <c r="D798" s="12"/>
      <c r="G798" s="17"/>
      <c r="H798" s="17"/>
    </row>
    <row r="799">
      <c r="A799" s="27"/>
      <c r="B799" s="12"/>
      <c r="C799" s="12"/>
      <c r="D799" s="12"/>
      <c r="G799" s="17"/>
      <c r="H799" s="17"/>
    </row>
    <row r="800">
      <c r="A800" s="27"/>
      <c r="B800" s="12"/>
      <c r="C800" s="12"/>
      <c r="D800" s="12"/>
      <c r="G800" s="17"/>
      <c r="H800" s="17"/>
    </row>
    <row r="801">
      <c r="A801" s="27"/>
      <c r="B801" s="12"/>
      <c r="C801" s="12"/>
      <c r="D801" s="12"/>
      <c r="G801" s="17"/>
      <c r="H801" s="17"/>
    </row>
    <row r="802">
      <c r="A802" s="27"/>
      <c r="B802" s="12"/>
      <c r="C802" s="12"/>
      <c r="D802" s="12"/>
      <c r="G802" s="17"/>
      <c r="H802" s="17"/>
    </row>
    <row r="803">
      <c r="A803" s="27"/>
      <c r="B803" s="12"/>
      <c r="C803" s="12"/>
      <c r="D803" s="12"/>
      <c r="G803" s="17"/>
      <c r="H803" s="17"/>
    </row>
    <row r="804">
      <c r="A804" s="27"/>
      <c r="B804" s="12"/>
      <c r="C804" s="12"/>
      <c r="D804" s="12"/>
      <c r="G804" s="17"/>
      <c r="H804" s="17"/>
    </row>
    <row r="805">
      <c r="A805" s="27"/>
      <c r="B805" s="12"/>
      <c r="C805" s="12"/>
      <c r="D805" s="12"/>
      <c r="G805" s="17"/>
      <c r="H805" s="17"/>
    </row>
    <row r="806">
      <c r="A806" s="27"/>
      <c r="B806" s="12"/>
      <c r="C806" s="12"/>
      <c r="D806" s="12"/>
      <c r="G806" s="17"/>
      <c r="H806" s="17"/>
    </row>
    <row r="807">
      <c r="A807" s="27"/>
      <c r="B807" s="12"/>
      <c r="C807" s="12"/>
      <c r="D807" s="12"/>
      <c r="G807" s="17"/>
      <c r="H807" s="17"/>
    </row>
    <row r="808">
      <c r="A808" s="27"/>
      <c r="B808" s="12"/>
      <c r="C808" s="12"/>
      <c r="D808" s="12"/>
      <c r="G808" s="17"/>
      <c r="H808" s="17"/>
    </row>
    <row r="809">
      <c r="A809" s="27"/>
      <c r="B809" s="12"/>
      <c r="C809" s="12"/>
      <c r="D809" s="12"/>
      <c r="G809" s="17"/>
      <c r="H809" s="17"/>
    </row>
    <row r="810">
      <c r="A810" s="27"/>
      <c r="B810" s="12"/>
      <c r="C810" s="12"/>
      <c r="D810" s="12"/>
      <c r="G810" s="17"/>
      <c r="H810" s="17"/>
    </row>
    <row r="811">
      <c r="A811" s="27"/>
      <c r="B811" s="12"/>
      <c r="C811" s="12"/>
      <c r="D811" s="12"/>
      <c r="G811" s="17"/>
      <c r="H811" s="17"/>
    </row>
    <row r="812">
      <c r="A812" s="27"/>
      <c r="B812" s="12"/>
      <c r="C812" s="12"/>
      <c r="D812" s="12"/>
      <c r="G812" s="17"/>
      <c r="H812" s="17"/>
    </row>
    <row r="813">
      <c r="A813" s="27"/>
      <c r="B813" s="12"/>
      <c r="C813" s="12"/>
      <c r="D813" s="12"/>
      <c r="G813" s="17"/>
      <c r="H813" s="17"/>
    </row>
    <row r="814">
      <c r="A814" s="27"/>
      <c r="B814" s="12"/>
      <c r="C814" s="12"/>
      <c r="D814" s="12"/>
      <c r="G814" s="17"/>
      <c r="H814" s="17"/>
    </row>
    <row r="815">
      <c r="A815" s="27"/>
      <c r="B815" s="12"/>
      <c r="C815" s="12"/>
      <c r="D815" s="12"/>
      <c r="G815" s="17"/>
      <c r="H815" s="17"/>
    </row>
    <row r="816">
      <c r="A816" s="27"/>
      <c r="B816" s="12"/>
      <c r="C816" s="12"/>
      <c r="D816" s="12"/>
      <c r="G816" s="17"/>
      <c r="H816" s="17"/>
    </row>
    <row r="817">
      <c r="A817" s="27"/>
      <c r="B817" s="12"/>
      <c r="C817" s="12"/>
      <c r="D817" s="12"/>
      <c r="G817" s="17"/>
      <c r="H817" s="17"/>
    </row>
    <row r="818">
      <c r="A818" s="27"/>
      <c r="B818" s="12"/>
      <c r="C818" s="12"/>
      <c r="D818" s="12"/>
      <c r="G818" s="17"/>
      <c r="H818" s="17"/>
    </row>
    <row r="819">
      <c r="A819" s="27"/>
      <c r="B819" s="12"/>
      <c r="C819" s="12"/>
      <c r="D819" s="12"/>
      <c r="G819" s="17"/>
      <c r="H819" s="17"/>
    </row>
    <row r="820">
      <c r="A820" s="27"/>
      <c r="B820" s="12"/>
      <c r="C820" s="12"/>
      <c r="D820" s="12"/>
      <c r="G820" s="17"/>
      <c r="H820" s="17"/>
    </row>
    <row r="821">
      <c r="A821" s="27"/>
      <c r="B821" s="12"/>
      <c r="C821" s="12"/>
      <c r="D821" s="12"/>
      <c r="G821" s="17"/>
      <c r="H821" s="17"/>
    </row>
    <row r="822">
      <c r="A822" s="27"/>
      <c r="B822" s="12"/>
      <c r="C822" s="12"/>
      <c r="D822" s="12"/>
      <c r="G822" s="17"/>
      <c r="H822" s="17"/>
    </row>
    <row r="823">
      <c r="A823" s="27"/>
      <c r="B823" s="12"/>
      <c r="C823" s="12"/>
      <c r="D823" s="12"/>
      <c r="G823" s="17"/>
      <c r="H823" s="17"/>
    </row>
    <row r="824">
      <c r="A824" s="27"/>
      <c r="B824" s="12"/>
      <c r="C824" s="12"/>
      <c r="D824" s="12"/>
      <c r="G824" s="17"/>
      <c r="H824" s="17"/>
    </row>
    <row r="825">
      <c r="A825" s="27"/>
      <c r="B825" s="12"/>
      <c r="C825" s="12"/>
      <c r="D825" s="12"/>
      <c r="G825" s="17"/>
      <c r="H825" s="17"/>
    </row>
    <row r="826">
      <c r="A826" s="27"/>
      <c r="B826" s="12"/>
      <c r="C826" s="12"/>
      <c r="D826" s="12"/>
      <c r="G826" s="17"/>
      <c r="H826" s="17"/>
    </row>
    <row r="827">
      <c r="A827" s="27"/>
      <c r="B827" s="12"/>
      <c r="C827" s="12"/>
      <c r="D827" s="12"/>
      <c r="G827" s="17"/>
      <c r="H827" s="17"/>
    </row>
    <row r="828">
      <c r="A828" s="27"/>
      <c r="B828" s="12"/>
      <c r="C828" s="12"/>
      <c r="D828" s="12"/>
      <c r="G828" s="17"/>
      <c r="H828" s="17"/>
    </row>
    <row r="829">
      <c r="A829" s="27"/>
      <c r="B829" s="12"/>
      <c r="C829" s="12"/>
      <c r="D829" s="12"/>
      <c r="G829" s="17"/>
      <c r="H829" s="17"/>
    </row>
    <row r="830">
      <c r="A830" s="27"/>
      <c r="B830" s="12"/>
      <c r="C830" s="12"/>
      <c r="D830" s="12"/>
      <c r="G830" s="17"/>
      <c r="H830" s="17"/>
    </row>
    <row r="831">
      <c r="A831" s="27"/>
      <c r="B831" s="12"/>
      <c r="C831" s="12"/>
      <c r="D831" s="12"/>
      <c r="G831" s="17"/>
      <c r="H831" s="17"/>
    </row>
    <row r="832">
      <c r="A832" s="27"/>
      <c r="B832" s="12"/>
      <c r="C832" s="12"/>
      <c r="D832" s="12"/>
      <c r="G832" s="17"/>
      <c r="H832" s="17"/>
    </row>
    <row r="833">
      <c r="A833" s="27"/>
      <c r="B833" s="12"/>
      <c r="C833" s="12"/>
      <c r="D833" s="12"/>
      <c r="G833" s="17"/>
      <c r="H833" s="17"/>
    </row>
    <row r="834">
      <c r="A834" s="27"/>
      <c r="B834" s="12"/>
      <c r="C834" s="12"/>
      <c r="D834" s="12"/>
      <c r="G834" s="17"/>
      <c r="H834" s="17"/>
    </row>
    <row r="835">
      <c r="A835" s="27"/>
      <c r="B835" s="12"/>
      <c r="C835" s="12"/>
      <c r="D835" s="12"/>
      <c r="G835" s="17"/>
      <c r="H835" s="17"/>
    </row>
    <row r="836">
      <c r="A836" s="27"/>
      <c r="B836" s="12"/>
      <c r="C836" s="12"/>
      <c r="D836" s="12"/>
      <c r="G836" s="17"/>
      <c r="H836" s="17"/>
    </row>
    <row r="837">
      <c r="A837" s="27"/>
      <c r="B837" s="12"/>
      <c r="C837" s="12"/>
      <c r="D837" s="12"/>
      <c r="G837" s="17"/>
      <c r="H837" s="17"/>
    </row>
    <row r="838">
      <c r="A838" s="27"/>
      <c r="B838" s="12"/>
      <c r="C838" s="12"/>
      <c r="D838" s="12"/>
      <c r="G838" s="17"/>
      <c r="H838" s="17"/>
    </row>
    <row r="839">
      <c r="A839" s="27"/>
      <c r="B839" s="12"/>
      <c r="C839" s="12"/>
      <c r="D839" s="12"/>
      <c r="G839" s="17"/>
      <c r="H839" s="17"/>
    </row>
    <row r="840">
      <c r="A840" s="27"/>
      <c r="B840" s="12"/>
      <c r="C840" s="12"/>
      <c r="D840" s="12"/>
      <c r="G840" s="17"/>
      <c r="H840" s="17"/>
    </row>
    <row r="841">
      <c r="A841" s="27"/>
      <c r="B841" s="12"/>
      <c r="C841" s="12"/>
      <c r="D841" s="12"/>
      <c r="G841" s="17"/>
      <c r="H841" s="17"/>
    </row>
    <row r="842">
      <c r="A842" s="27"/>
      <c r="B842" s="12"/>
      <c r="C842" s="12"/>
      <c r="D842" s="12"/>
      <c r="G842" s="17"/>
      <c r="H842" s="17"/>
    </row>
    <row r="843">
      <c r="A843" s="27"/>
      <c r="B843" s="12"/>
      <c r="C843" s="12"/>
      <c r="D843" s="12"/>
      <c r="G843" s="17"/>
      <c r="H843" s="17"/>
    </row>
    <row r="844">
      <c r="A844" s="27"/>
      <c r="B844" s="12"/>
      <c r="C844" s="12"/>
      <c r="D844" s="12"/>
      <c r="G844" s="17"/>
      <c r="H844" s="17"/>
    </row>
    <row r="845">
      <c r="A845" s="27"/>
      <c r="B845" s="12"/>
      <c r="C845" s="12"/>
      <c r="D845" s="12"/>
      <c r="G845" s="17"/>
      <c r="H845" s="17"/>
    </row>
    <row r="846">
      <c r="A846" s="27"/>
      <c r="B846" s="12"/>
      <c r="C846" s="12"/>
      <c r="D846" s="12"/>
      <c r="G846" s="17"/>
      <c r="H846" s="17"/>
    </row>
    <row r="847">
      <c r="A847" s="27"/>
      <c r="B847" s="12"/>
      <c r="C847" s="12"/>
      <c r="D847" s="12"/>
      <c r="G847" s="17"/>
      <c r="H847" s="17"/>
    </row>
    <row r="848">
      <c r="A848" s="27"/>
      <c r="B848" s="12"/>
      <c r="C848" s="12"/>
      <c r="D848" s="12"/>
      <c r="G848" s="17"/>
      <c r="H848" s="17"/>
    </row>
    <row r="849">
      <c r="A849" s="27"/>
      <c r="B849" s="12"/>
      <c r="C849" s="12"/>
      <c r="D849" s="12"/>
      <c r="G849" s="17"/>
      <c r="H849" s="17"/>
    </row>
    <row r="850">
      <c r="A850" s="27"/>
      <c r="B850" s="12"/>
      <c r="C850" s="12"/>
      <c r="D850" s="12"/>
      <c r="G850" s="17"/>
      <c r="H850" s="17"/>
    </row>
    <row r="851">
      <c r="A851" s="27"/>
      <c r="B851" s="12"/>
      <c r="C851" s="12"/>
      <c r="D851" s="12"/>
      <c r="G851" s="17"/>
      <c r="H851" s="17"/>
    </row>
    <row r="852">
      <c r="A852" s="27"/>
      <c r="B852" s="12"/>
      <c r="C852" s="12"/>
      <c r="D852" s="12"/>
      <c r="G852" s="17"/>
      <c r="H852" s="17"/>
    </row>
    <row r="853">
      <c r="A853" s="27"/>
      <c r="B853" s="12"/>
      <c r="C853" s="12"/>
      <c r="D853" s="12"/>
      <c r="G853" s="17"/>
      <c r="H853" s="17"/>
    </row>
    <row r="854">
      <c r="A854" s="27"/>
      <c r="B854" s="12"/>
      <c r="C854" s="12"/>
      <c r="D854" s="12"/>
      <c r="G854" s="17"/>
      <c r="H854" s="17"/>
    </row>
    <row r="855">
      <c r="A855" s="27"/>
      <c r="B855" s="12"/>
      <c r="C855" s="12"/>
      <c r="D855" s="12"/>
      <c r="G855" s="17"/>
      <c r="H855" s="17"/>
    </row>
    <row r="856">
      <c r="A856" s="27"/>
      <c r="B856" s="12"/>
      <c r="C856" s="12"/>
      <c r="D856" s="12"/>
      <c r="G856" s="17"/>
      <c r="H856" s="17"/>
    </row>
    <row r="857">
      <c r="A857" s="27"/>
      <c r="B857" s="12"/>
      <c r="C857" s="12"/>
      <c r="D857" s="12"/>
      <c r="G857" s="17"/>
      <c r="H857" s="17"/>
    </row>
    <row r="858">
      <c r="A858" s="27"/>
      <c r="B858" s="12"/>
      <c r="C858" s="12"/>
      <c r="D858" s="12"/>
      <c r="G858" s="17"/>
      <c r="H858" s="17"/>
    </row>
    <row r="859">
      <c r="A859" s="27"/>
      <c r="B859" s="12"/>
      <c r="C859" s="12"/>
      <c r="D859" s="12"/>
      <c r="G859" s="17"/>
      <c r="H859" s="17"/>
    </row>
    <row r="860">
      <c r="A860" s="27"/>
      <c r="B860" s="12"/>
      <c r="C860" s="12"/>
      <c r="D860" s="12"/>
      <c r="G860" s="17"/>
      <c r="H860" s="17"/>
    </row>
    <row r="861">
      <c r="A861" s="27"/>
      <c r="B861" s="12"/>
      <c r="C861" s="12"/>
      <c r="D861" s="12"/>
      <c r="G861" s="17"/>
      <c r="H861" s="17"/>
    </row>
    <row r="862">
      <c r="A862" s="27"/>
      <c r="B862" s="12"/>
      <c r="C862" s="12"/>
      <c r="D862" s="12"/>
      <c r="G862" s="17"/>
      <c r="H862" s="17"/>
    </row>
    <row r="863">
      <c r="A863" s="27"/>
      <c r="B863" s="12"/>
      <c r="C863" s="12"/>
      <c r="D863" s="12"/>
      <c r="G863" s="17"/>
      <c r="H863" s="17"/>
    </row>
    <row r="864">
      <c r="A864" s="27"/>
      <c r="B864" s="12"/>
      <c r="C864" s="12"/>
      <c r="D864" s="12"/>
      <c r="G864" s="17"/>
      <c r="H864" s="17"/>
    </row>
    <row r="865">
      <c r="A865" s="27"/>
      <c r="B865" s="12"/>
      <c r="C865" s="12"/>
      <c r="D865" s="12"/>
      <c r="G865" s="17"/>
      <c r="H865" s="17"/>
    </row>
    <row r="866">
      <c r="A866" s="27"/>
      <c r="B866" s="12"/>
      <c r="C866" s="12"/>
      <c r="D866" s="12"/>
      <c r="G866" s="17"/>
      <c r="H866" s="17"/>
    </row>
    <row r="867">
      <c r="A867" s="27"/>
      <c r="B867" s="12"/>
      <c r="C867" s="12"/>
      <c r="D867" s="12"/>
      <c r="G867" s="17"/>
      <c r="H867" s="17"/>
    </row>
    <row r="868">
      <c r="A868" s="27"/>
      <c r="B868" s="12"/>
      <c r="C868" s="12"/>
      <c r="D868" s="12"/>
      <c r="G868" s="17"/>
      <c r="H868" s="17"/>
    </row>
    <row r="869">
      <c r="A869" s="27"/>
      <c r="B869" s="12"/>
      <c r="C869" s="12"/>
      <c r="D869" s="12"/>
      <c r="G869" s="17"/>
      <c r="H869" s="17"/>
    </row>
    <row r="870">
      <c r="A870" s="27"/>
      <c r="B870" s="12"/>
      <c r="C870" s="12"/>
      <c r="D870" s="12"/>
      <c r="G870" s="17"/>
      <c r="H870" s="17"/>
    </row>
    <row r="871">
      <c r="A871" s="27"/>
      <c r="B871" s="12"/>
      <c r="C871" s="12"/>
      <c r="D871" s="12"/>
      <c r="G871" s="17"/>
      <c r="H871" s="17"/>
    </row>
    <row r="872">
      <c r="A872" s="27"/>
      <c r="B872" s="12"/>
      <c r="C872" s="12"/>
      <c r="D872" s="12"/>
      <c r="G872" s="17"/>
      <c r="H872" s="17"/>
    </row>
    <row r="873">
      <c r="A873" s="27"/>
      <c r="B873" s="12"/>
      <c r="C873" s="12"/>
      <c r="D873" s="12"/>
      <c r="G873" s="17"/>
      <c r="H873" s="17"/>
    </row>
    <row r="874">
      <c r="A874" s="27"/>
      <c r="B874" s="12"/>
      <c r="C874" s="12"/>
      <c r="D874" s="12"/>
      <c r="G874" s="17"/>
      <c r="H874" s="17"/>
    </row>
    <row r="875">
      <c r="A875" s="27"/>
      <c r="B875" s="12"/>
      <c r="C875" s="12"/>
      <c r="D875" s="12"/>
      <c r="G875" s="17"/>
      <c r="H875" s="17"/>
    </row>
    <row r="876">
      <c r="A876" s="27"/>
      <c r="B876" s="12"/>
      <c r="C876" s="12"/>
      <c r="D876" s="12"/>
      <c r="G876" s="17"/>
      <c r="H876" s="17"/>
    </row>
    <row r="877">
      <c r="A877" s="27"/>
      <c r="B877" s="12"/>
      <c r="C877" s="12"/>
      <c r="D877" s="12"/>
      <c r="G877" s="17"/>
      <c r="H877" s="17"/>
    </row>
    <row r="878">
      <c r="A878" s="27"/>
      <c r="B878" s="12"/>
      <c r="C878" s="12"/>
      <c r="D878" s="12"/>
      <c r="G878" s="17"/>
      <c r="H878" s="17"/>
    </row>
    <row r="879">
      <c r="A879" s="27"/>
      <c r="B879" s="12"/>
      <c r="C879" s="12"/>
      <c r="D879" s="12"/>
      <c r="G879" s="17"/>
      <c r="H879" s="17"/>
    </row>
    <row r="880">
      <c r="A880" s="27"/>
      <c r="B880" s="12"/>
      <c r="C880" s="12"/>
      <c r="D880" s="12"/>
      <c r="G880" s="17"/>
      <c r="H880" s="17"/>
    </row>
    <row r="881">
      <c r="A881" s="27"/>
      <c r="B881" s="12"/>
      <c r="C881" s="12"/>
      <c r="D881" s="12"/>
      <c r="G881" s="17"/>
      <c r="H881" s="17"/>
    </row>
    <row r="882">
      <c r="A882" s="27"/>
      <c r="B882" s="12"/>
      <c r="C882" s="12"/>
      <c r="D882" s="12"/>
      <c r="G882" s="17"/>
      <c r="H882" s="17"/>
    </row>
    <row r="883">
      <c r="A883" s="27"/>
      <c r="B883" s="12"/>
      <c r="C883" s="12"/>
      <c r="D883" s="12"/>
      <c r="G883" s="17"/>
      <c r="H883" s="17"/>
    </row>
    <row r="884">
      <c r="A884" s="27"/>
      <c r="B884" s="12"/>
      <c r="C884" s="12"/>
      <c r="D884" s="12"/>
      <c r="G884" s="17"/>
      <c r="H884" s="17"/>
    </row>
    <row r="885">
      <c r="A885" s="27"/>
      <c r="B885" s="12"/>
      <c r="C885" s="12"/>
      <c r="D885" s="12"/>
      <c r="G885" s="17"/>
      <c r="H885" s="17"/>
    </row>
    <row r="886">
      <c r="A886" s="27"/>
      <c r="B886" s="12"/>
      <c r="C886" s="12"/>
      <c r="D886" s="12"/>
      <c r="G886" s="17"/>
      <c r="H886" s="17"/>
    </row>
    <row r="887">
      <c r="A887" s="27"/>
      <c r="B887" s="12"/>
      <c r="C887" s="12"/>
      <c r="D887" s="12"/>
      <c r="G887" s="17"/>
      <c r="H887" s="17"/>
    </row>
    <row r="888">
      <c r="A888" s="27"/>
      <c r="B888" s="12"/>
      <c r="C888" s="12"/>
      <c r="D888" s="12"/>
      <c r="G888" s="17"/>
      <c r="H888" s="17"/>
    </row>
    <row r="889">
      <c r="A889" s="27"/>
      <c r="B889" s="12"/>
      <c r="C889" s="12"/>
      <c r="D889" s="12"/>
      <c r="G889" s="17"/>
      <c r="H889" s="17"/>
    </row>
    <row r="890">
      <c r="A890" s="27"/>
      <c r="B890" s="12"/>
      <c r="C890" s="12"/>
      <c r="D890" s="12"/>
      <c r="G890" s="17"/>
      <c r="H890" s="17"/>
    </row>
    <row r="891">
      <c r="A891" s="27"/>
      <c r="B891" s="12"/>
      <c r="C891" s="12"/>
      <c r="D891" s="12"/>
      <c r="G891" s="17"/>
      <c r="H891" s="17"/>
    </row>
    <row r="892">
      <c r="A892" s="27"/>
      <c r="B892" s="12"/>
      <c r="C892" s="12"/>
      <c r="D892" s="12"/>
      <c r="G892" s="17"/>
      <c r="H892" s="17"/>
    </row>
    <row r="893">
      <c r="A893" s="27"/>
      <c r="B893" s="12"/>
      <c r="C893" s="12"/>
      <c r="D893" s="12"/>
      <c r="G893" s="17"/>
      <c r="H893" s="17"/>
    </row>
    <row r="894">
      <c r="A894" s="27"/>
      <c r="B894" s="12"/>
      <c r="C894" s="12"/>
      <c r="D894" s="12"/>
      <c r="G894" s="17"/>
      <c r="H894" s="17"/>
    </row>
    <row r="895">
      <c r="A895" s="27"/>
      <c r="B895" s="12"/>
      <c r="C895" s="12"/>
      <c r="D895" s="12"/>
      <c r="G895" s="17"/>
      <c r="H895" s="17"/>
    </row>
    <row r="896">
      <c r="A896" s="27"/>
      <c r="B896" s="12"/>
      <c r="C896" s="12"/>
      <c r="D896" s="12"/>
      <c r="G896" s="17"/>
      <c r="H896" s="17"/>
    </row>
    <row r="897">
      <c r="A897" s="27"/>
      <c r="B897" s="12"/>
      <c r="C897" s="12"/>
      <c r="D897" s="12"/>
      <c r="G897" s="17"/>
      <c r="H897" s="17"/>
    </row>
    <row r="898">
      <c r="A898" s="27"/>
      <c r="B898" s="12"/>
      <c r="C898" s="12"/>
      <c r="D898" s="12"/>
      <c r="G898" s="17"/>
      <c r="H898" s="17"/>
    </row>
    <row r="899">
      <c r="A899" s="27"/>
      <c r="B899" s="12"/>
      <c r="C899" s="12"/>
      <c r="D899" s="12"/>
      <c r="G899" s="17"/>
      <c r="H899" s="17"/>
    </row>
    <row r="900">
      <c r="A900" s="27"/>
      <c r="B900" s="12"/>
      <c r="C900" s="12"/>
      <c r="D900" s="12"/>
      <c r="G900" s="17"/>
      <c r="H900" s="17"/>
    </row>
    <row r="901">
      <c r="A901" s="27"/>
      <c r="B901" s="12"/>
      <c r="C901" s="12"/>
      <c r="D901" s="12"/>
      <c r="G901" s="17"/>
      <c r="H901" s="17"/>
    </row>
    <row r="902">
      <c r="A902" s="27"/>
      <c r="B902" s="12"/>
      <c r="C902" s="12"/>
      <c r="D902" s="12"/>
      <c r="G902" s="17"/>
      <c r="H902" s="17"/>
    </row>
    <row r="903">
      <c r="A903" s="27"/>
      <c r="B903" s="12"/>
      <c r="C903" s="12"/>
      <c r="D903" s="12"/>
      <c r="G903" s="17"/>
      <c r="H903" s="17"/>
    </row>
    <row r="904">
      <c r="A904" s="27"/>
      <c r="B904" s="12"/>
      <c r="C904" s="12"/>
      <c r="D904" s="12"/>
      <c r="G904" s="17"/>
      <c r="H904" s="17"/>
    </row>
    <row r="905">
      <c r="A905" s="27"/>
      <c r="B905" s="12"/>
      <c r="C905" s="12"/>
      <c r="D905" s="12"/>
      <c r="G905" s="17"/>
      <c r="H905" s="17"/>
    </row>
    <row r="906">
      <c r="A906" s="27"/>
      <c r="B906" s="12"/>
      <c r="C906" s="12"/>
      <c r="D906" s="12"/>
      <c r="G906" s="17"/>
      <c r="H906" s="17"/>
    </row>
    <row r="907">
      <c r="A907" s="27"/>
      <c r="B907" s="12"/>
      <c r="C907" s="12"/>
      <c r="D907" s="12"/>
      <c r="G907" s="17"/>
      <c r="H907" s="17"/>
    </row>
    <row r="908">
      <c r="A908" s="27"/>
      <c r="B908" s="12"/>
      <c r="C908" s="12"/>
      <c r="D908" s="12"/>
      <c r="G908" s="17"/>
      <c r="H908" s="17"/>
    </row>
    <row r="909">
      <c r="A909" s="27"/>
      <c r="B909" s="12"/>
      <c r="C909" s="12"/>
      <c r="D909" s="12"/>
      <c r="G909" s="17"/>
      <c r="H909" s="17"/>
    </row>
    <row r="910">
      <c r="A910" s="27"/>
      <c r="B910" s="12"/>
      <c r="C910" s="12"/>
      <c r="D910" s="12"/>
      <c r="G910" s="17"/>
      <c r="H910" s="17"/>
    </row>
    <row r="911">
      <c r="A911" s="27"/>
      <c r="B911" s="12"/>
      <c r="C911" s="12"/>
      <c r="D911" s="12"/>
      <c r="G911" s="17"/>
      <c r="H911" s="17"/>
    </row>
    <row r="912">
      <c r="A912" s="27"/>
      <c r="B912" s="12"/>
      <c r="C912" s="12"/>
      <c r="D912" s="12"/>
      <c r="G912" s="17"/>
      <c r="H912" s="17"/>
    </row>
    <row r="913">
      <c r="A913" s="27"/>
      <c r="B913" s="12"/>
      <c r="C913" s="12"/>
      <c r="D913" s="12"/>
      <c r="G913" s="17"/>
      <c r="H913" s="17"/>
    </row>
    <row r="914">
      <c r="A914" s="27"/>
      <c r="B914" s="12"/>
      <c r="C914" s="12"/>
      <c r="D914" s="12"/>
      <c r="G914" s="17"/>
      <c r="H914" s="17"/>
    </row>
    <row r="915">
      <c r="A915" s="27"/>
      <c r="B915" s="12"/>
      <c r="C915" s="12"/>
      <c r="D915" s="12"/>
      <c r="G915" s="17"/>
      <c r="H915" s="17"/>
    </row>
    <row r="916">
      <c r="A916" s="27"/>
      <c r="B916" s="12"/>
      <c r="C916" s="12"/>
      <c r="D916" s="12"/>
      <c r="G916" s="17"/>
      <c r="H916" s="17"/>
    </row>
    <row r="917">
      <c r="A917" s="27"/>
      <c r="B917" s="12"/>
      <c r="C917" s="12"/>
      <c r="D917" s="12"/>
      <c r="G917" s="17"/>
      <c r="H917" s="17"/>
    </row>
    <row r="918">
      <c r="A918" s="27"/>
      <c r="B918" s="12"/>
      <c r="C918" s="12"/>
      <c r="D918" s="12"/>
      <c r="G918" s="17"/>
      <c r="H918" s="17"/>
    </row>
    <row r="919">
      <c r="A919" s="27"/>
      <c r="B919" s="12"/>
      <c r="C919" s="12"/>
      <c r="D919" s="12"/>
      <c r="G919" s="17"/>
      <c r="H919" s="17"/>
    </row>
    <row r="920">
      <c r="A920" s="27"/>
      <c r="B920" s="12"/>
      <c r="C920" s="12"/>
      <c r="D920" s="12"/>
      <c r="G920" s="17"/>
      <c r="H920" s="17"/>
    </row>
    <row r="921">
      <c r="A921" s="27"/>
      <c r="B921" s="12"/>
      <c r="C921" s="12"/>
      <c r="D921" s="12"/>
      <c r="G921" s="17"/>
      <c r="H921" s="17"/>
    </row>
    <row r="922">
      <c r="A922" s="27"/>
      <c r="B922" s="12"/>
      <c r="C922" s="12"/>
      <c r="D922" s="12"/>
      <c r="G922" s="17"/>
      <c r="H922" s="17"/>
    </row>
    <row r="923">
      <c r="A923" s="27"/>
      <c r="B923" s="12"/>
      <c r="C923" s="12"/>
      <c r="D923" s="12"/>
      <c r="G923" s="17"/>
      <c r="H923" s="17"/>
    </row>
    <row r="924">
      <c r="A924" s="27"/>
      <c r="B924" s="12"/>
      <c r="C924" s="12"/>
      <c r="D924" s="12"/>
      <c r="G924" s="17"/>
      <c r="H924" s="17"/>
    </row>
    <row r="925">
      <c r="A925" s="27"/>
      <c r="B925" s="12"/>
      <c r="C925" s="12"/>
      <c r="D925" s="12"/>
      <c r="G925" s="17"/>
      <c r="H925" s="17"/>
    </row>
    <row r="926">
      <c r="A926" s="27"/>
      <c r="B926" s="12"/>
      <c r="C926" s="12"/>
      <c r="D926" s="12"/>
      <c r="G926" s="17"/>
      <c r="H926" s="17"/>
    </row>
    <row r="927">
      <c r="A927" s="27"/>
      <c r="B927" s="12"/>
      <c r="C927" s="12"/>
      <c r="D927" s="12"/>
      <c r="G927" s="17"/>
      <c r="H927" s="17"/>
    </row>
    <row r="928">
      <c r="A928" s="27"/>
      <c r="B928" s="12"/>
      <c r="C928" s="12"/>
      <c r="D928" s="12"/>
      <c r="G928" s="17"/>
      <c r="H928" s="17"/>
    </row>
    <row r="929">
      <c r="A929" s="27"/>
      <c r="B929" s="12"/>
      <c r="C929" s="12"/>
      <c r="D929" s="12"/>
      <c r="G929" s="17"/>
      <c r="H929" s="17"/>
    </row>
    <row r="930">
      <c r="A930" s="27"/>
      <c r="B930" s="12"/>
      <c r="C930" s="12"/>
      <c r="D930" s="12"/>
      <c r="G930" s="17"/>
      <c r="H930" s="17"/>
    </row>
    <row r="931">
      <c r="A931" s="27"/>
      <c r="B931" s="12"/>
      <c r="C931" s="12"/>
      <c r="D931" s="12"/>
      <c r="G931" s="17"/>
      <c r="H931" s="17"/>
    </row>
    <row r="932">
      <c r="A932" s="27"/>
      <c r="B932" s="12"/>
      <c r="C932" s="12"/>
      <c r="D932" s="12"/>
      <c r="G932" s="17"/>
      <c r="H932" s="17"/>
    </row>
    <row r="933">
      <c r="A933" s="27"/>
      <c r="B933" s="12"/>
      <c r="C933" s="12"/>
      <c r="D933" s="12"/>
      <c r="G933" s="17"/>
      <c r="H933" s="17"/>
    </row>
    <row r="934">
      <c r="A934" s="27"/>
      <c r="B934" s="12"/>
      <c r="C934" s="12"/>
      <c r="D934" s="12"/>
      <c r="G934" s="17"/>
      <c r="H934" s="17"/>
    </row>
    <row r="935">
      <c r="A935" s="27"/>
      <c r="B935" s="12"/>
      <c r="C935" s="12"/>
      <c r="D935" s="12"/>
      <c r="G935" s="17"/>
      <c r="H935" s="17"/>
    </row>
    <row r="936">
      <c r="A936" s="27"/>
      <c r="B936" s="12"/>
      <c r="C936" s="12"/>
      <c r="D936" s="12"/>
      <c r="G936" s="17"/>
      <c r="H936" s="17"/>
    </row>
    <row r="937">
      <c r="A937" s="27"/>
      <c r="B937" s="12"/>
      <c r="C937" s="12"/>
      <c r="D937" s="12"/>
      <c r="G937" s="17"/>
      <c r="H937" s="17"/>
    </row>
    <row r="938">
      <c r="A938" s="27"/>
      <c r="B938" s="12"/>
      <c r="C938" s="12"/>
      <c r="D938" s="12"/>
      <c r="G938" s="17"/>
      <c r="H938" s="17"/>
    </row>
    <row r="939">
      <c r="A939" s="27"/>
      <c r="B939" s="12"/>
      <c r="C939" s="12"/>
      <c r="D939" s="12"/>
      <c r="G939" s="17"/>
      <c r="H939" s="17"/>
    </row>
    <row r="940">
      <c r="A940" s="27"/>
      <c r="B940" s="12"/>
      <c r="C940" s="12"/>
      <c r="D940" s="12"/>
      <c r="G940" s="17"/>
      <c r="H940" s="17"/>
    </row>
    <row r="941">
      <c r="A941" s="27"/>
      <c r="B941" s="12"/>
      <c r="C941" s="12"/>
      <c r="D941" s="12"/>
      <c r="G941" s="17"/>
      <c r="H941" s="17"/>
    </row>
    <row r="942">
      <c r="A942" s="27"/>
      <c r="B942" s="12"/>
      <c r="C942" s="12"/>
      <c r="D942" s="12"/>
      <c r="G942" s="17"/>
      <c r="H942" s="17"/>
    </row>
    <row r="943">
      <c r="A943" s="27"/>
      <c r="B943" s="12"/>
      <c r="C943" s="12"/>
      <c r="D943" s="12"/>
      <c r="G943" s="17"/>
      <c r="H943" s="17"/>
    </row>
    <row r="944">
      <c r="A944" s="27"/>
      <c r="B944" s="12"/>
      <c r="C944" s="12"/>
      <c r="D944" s="12"/>
      <c r="G944" s="17"/>
      <c r="H944" s="17"/>
    </row>
    <row r="945">
      <c r="A945" s="27"/>
      <c r="B945" s="12"/>
      <c r="C945" s="12"/>
      <c r="D945" s="12"/>
      <c r="G945" s="17"/>
      <c r="H945" s="17"/>
    </row>
    <row r="946">
      <c r="A946" s="27"/>
      <c r="B946" s="12"/>
      <c r="C946" s="12"/>
      <c r="D946" s="12"/>
      <c r="G946" s="17"/>
      <c r="H946" s="17"/>
    </row>
    <row r="947">
      <c r="A947" s="27"/>
      <c r="B947" s="12"/>
      <c r="C947" s="12"/>
      <c r="D947" s="12"/>
      <c r="G947" s="17"/>
      <c r="H947" s="17"/>
    </row>
    <row r="948">
      <c r="A948" s="27"/>
      <c r="B948" s="12"/>
      <c r="C948" s="12"/>
      <c r="D948" s="12"/>
      <c r="G948" s="17"/>
      <c r="H948" s="17"/>
    </row>
    <row r="949">
      <c r="A949" s="27"/>
      <c r="B949" s="12"/>
      <c r="C949" s="12"/>
      <c r="D949" s="12"/>
      <c r="G949" s="17"/>
      <c r="H949" s="17"/>
    </row>
    <row r="950">
      <c r="A950" s="27"/>
      <c r="B950" s="12"/>
      <c r="C950" s="12"/>
      <c r="D950" s="12"/>
      <c r="G950" s="17"/>
      <c r="H950" s="17"/>
    </row>
    <row r="951">
      <c r="A951" s="27"/>
      <c r="B951" s="12"/>
      <c r="C951" s="12"/>
      <c r="D951" s="12"/>
      <c r="G951" s="17"/>
      <c r="H951" s="17"/>
    </row>
    <row r="952">
      <c r="A952" s="27"/>
      <c r="B952" s="12"/>
      <c r="C952" s="12"/>
      <c r="D952" s="12"/>
      <c r="G952" s="17"/>
      <c r="H952" s="17"/>
    </row>
    <row r="953">
      <c r="A953" s="27"/>
      <c r="B953" s="12"/>
      <c r="C953" s="12"/>
      <c r="D953" s="12"/>
      <c r="G953" s="17"/>
      <c r="H953" s="17"/>
    </row>
    <row r="954">
      <c r="A954" s="27"/>
      <c r="B954" s="12"/>
      <c r="C954" s="12"/>
      <c r="D954" s="12"/>
      <c r="G954" s="17"/>
      <c r="H954" s="17"/>
    </row>
    <row r="955">
      <c r="A955" s="27"/>
      <c r="B955" s="12"/>
      <c r="C955" s="12"/>
      <c r="D955" s="12"/>
      <c r="G955" s="17"/>
      <c r="H955" s="17"/>
    </row>
    <row r="956">
      <c r="A956" s="27"/>
      <c r="B956" s="12"/>
      <c r="C956" s="12"/>
      <c r="D956" s="12"/>
      <c r="G956" s="17"/>
      <c r="H956" s="17"/>
    </row>
    <row r="957">
      <c r="A957" s="27"/>
      <c r="B957" s="12"/>
      <c r="C957" s="12"/>
      <c r="D957" s="12"/>
      <c r="G957" s="17"/>
      <c r="H957" s="17"/>
    </row>
    <row r="958">
      <c r="A958" s="27"/>
      <c r="B958" s="12"/>
      <c r="C958" s="12"/>
      <c r="D958" s="12"/>
      <c r="G958" s="17"/>
      <c r="H958" s="17"/>
    </row>
    <row r="959">
      <c r="A959" s="27"/>
      <c r="B959" s="12"/>
      <c r="C959" s="12"/>
      <c r="D959" s="12"/>
      <c r="G959" s="17"/>
      <c r="H959" s="17"/>
    </row>
    <row r="960">
      <c r="A960" s="27"/>
      <c r="B960" s="12"/>
      <c r="C960" s="12"/>
      <c r="D960" s="12"/>
      <c r="G960" s="17"/>
      <c r="H960" s="17"/>
    </row>
    <row r="961">
      <c r="A961" s="27"/>
      <c r="B961" s="12"/>
      <c r="C961" s="12"/>
      <c r="D961" s="12"/>
      <c r="G961" s="17"/>
      <c r="H961" s="17"/>
    </row>
    <row r="962">
      <c r="A962" s="27"/>
      <c r="B962" s="12"/>
      <c r="C962" s="12"/>
      <c r="D962" s="12"/>
      <c r="G962" s="17"/>
      <c r="H962" s="17"/>
    </row>
    <row r="963">
      <c r="A963" s="27"/>
      <c r="B963" s="12"/>
      <c r="C963" s="12"/>
      <c r="D963" s="12"/>
      <c r="G963" s="17"/>
      <c r="H963" s="17"/>
    </row>
    <row r="964">
      <c r="A964" s="27"/>
      <c r="B964" s="12"/>
      <c r="C964" s="12"/>
      <c r="D964" s="12"/>
      <c r="G964" s="17"/>
      <c r="H964" s="17"/>
    </row>
    <row r="965">
      <c r="A965" s="27"/>
      <c r="B965" s="12"/>
      <c r="C965" s="12"/>
      <c r="D965" s="12"/>
      <c r="G965" s="17"/>
      <c r="H965" s="17"/>
    </row>
    <row r="966">
      <c r="A966" s="27"/>
      <c r="B966" s="12"/>
      <c r="C966" s="12"/>
      <c r="D966" s="12"/>
      <c r="G966" s="17"/>
      <c r="H966" s="17"/>
    </row>
    <row r="967">
      <c r="A967" s="27"/>
      <c r="B967" s="12"/>
      <c r="C967" s="12"/>
      <c r="D967" s="12"/>
      <c r="G967" s="17"/>
      <c r="H967" s="17"/>
    </row>
    <row r="968">
      <c r="A968" s="27"/>
      <c r="B968" s="12"/>
      <c r="C968" s="12"/>
      <c r="D968" s="12"/>
      <c r="G968" s="17"/>
      <c r="H968" s="17"/>
    </row>
    <row r="969">
      <c r="A969" s="27"/>
      <c r="B969" s="12"/>
      <c r="C969" s="12"/>
      <c r="D969" s="12"/>
      <c r="G969" s="17"/>
      <c r="H969" s="17"/>
    </row>
    <row r="970">
      <c r="A970" s="27"/>
      <c r="B970" s="12"/>
      <c r="C970" s="12"/>
      <c r="D970" s="12"/>
      <c r="G970" s="17"/>
      <c r="H970" s="17"/>
    </row>
    <row r="971">
      <c r="A971" s="27"/>
      <c r="B971" s="12"/>
      <c r="C971" s="12"/>
      <c r="D971" s="12"/>
      <c r="G971" s="17"/>
      <c r="H971" s="17"/>
    </row>
    <row r="972">
      <c r="A972" s="27"/>
      <c r="B972" s="12"/>
      <c r="C972" s="12"/>
      <c r="D972" s="12"/>
      <c r="G972" s="17"/>
      <c r="H972" s="17"/>
    </row>
    <row r="973">
      <c r="A973" s="27"/>
      <c r="B973" s="12"/>
      <c r="C973" s="12"/>
      <c r="D973" s="12"/>
      <c r="G973" s="17"/>
      <c r="H973" s="17"/>
    </row>
    <row r="974">
      <c r="A974" s="27"/>
      <c r="B974" s="12"/>
      <c r="C974" s="12"/>
      <c r="D974" s="12"/>
      <c r="G974" s="17"/>
      <c r="H974" s="17"/>
    </row>
    <row r="975">
      <c r="A975" s="27"/>
      <c r="B975" s="12"/>
      <c r="C975" s="12"/>
      <c r="D975" s="12"/>
      <c r="G975" s="17"/>
      <c r="H975" s="17"/>
    </row>
    <row r="976">
      <c r="A976" s="27"/>
      <c r="B976" s="12"/>
      <c r="C976" s="12"/>
      <c r="D976" s="12"/>
      <c r="G976" s="17"/>
      <c r="H976" s="17"/>
    </row>
    <row r="977">
      <c r="A977" s="27"/>
      <c r="B977" s="12"/>
      <c r="C977" s="12"/>
      <c r="D977" s="12"/>
      <c r="G977" s="17"/>
      <c r="H977" s="17"/>
    </row>
    <row r="978">
      <c r="A978" s="27"/>
      <c r="B978" s="12"/>
      <c r="C978" s="12"/>
      <c r="D978" s="12"/>
      <c r="G978" s="17"/>
      <c r="H978" s="17"/>
    </row>
    <row r="979">
      <c r="A979" s="27"/>
      <c r="B979" s="12"/>
      <c r="C979" s="12"/>
      <c r="D979" s="12"/>
      <c r="G979" s="17"/>
      <c r="H979" s="17"/>
    </row>
    <row r="980">
      <c r="A980" s="27"/>
      <c r="B980" s="12"/>
      <c r="C980" s="12"/>
      <c r="D980" s="12"/>
      <c r="G980" s="17"/>
      <c r="H980" s="17"/>
    </row>
    <row r="981">
      <c r="A981" s="27"/>
      <c r="B981" s="12"/>
      <c r="C981" s="12"/>
      <c r="D981" s="12"/>
      <c r="G981" s="17"/>
      <c r="H981" s="17"/>
    </row>
    <row r="982">
      <c r="A982" s="27"/>
      <c r="B982" s="12"/>
      <c r="C982" s="12"/>
      <c r="D982" s="12"/>
      <c r="G982" s="17"/>
      <c r="H982" s="17"/>
    </row>
    <row r="983">
      <c r="A983" s="27"/>
      <c r="B983" s="12"/>
      <c r="C983" s="12"/>
      <c r="D983" s="12"/>
      <c r="G983" s="17"/>
      <c r="H983" s="17"/>
    </row>
    <row r="984">
      <c r="A984" s="27"/>
      <c r="B984" s="12"/>
      <c r="C984" s="12"/>
      <c r="D984" s="12"/>
      <c r="G984" s="17"/>
      <c r="H984" s="17"/>
    </row>
    <row r="985">
      <c r="A985" s="27"/>
      <c r="B985" s="12"/>
      <c r="C985" s="12"/>
      <c r="D985" s="12"/>
      <c r="G985" s="17"/>
      <c r="H985" s="17"/>
    </row>
    <row r="986">
      <c r="A986" s="27"/>
      <c r="B986" s="12"/>
      <c r="C986" s="12"/>
      <c r="D986" s="12"/>
      <c r="G986" s="17"/>
      <c r="H986" s="17"/>
    </row>
    <row r="987">
      <c r="A987" s="27"/>
      <c r="B987" s="12"/>
      <c r="C987" s="12"/>
      <c r="D987" s="12"/>
      <c r="G987" s="17"/>
      <c r="H987" s="17"/>
    </row>
    <row r="988">
      <c r="A988" s="27"/>
      <c r="B988" s="12"/>
      <c r="C988" s="12"/>
      <c r="D988" s="12"/>
      <c r="G988" s="17"/>
      <c r="H988" s="17"/>
    </row>
    <row r="989">
      <c r="A989" s="27"/>
      <c r="B989" s="12"/>
      <c r="C989" s="12"/>
      <c r="D989" s="12"/>
      <c r="G989" s="17"/>
      <c r="H989" s="17"/>
    </row>
    <row r="990">
      <c r="A990" s="27"/>
      <c r="B990" s="12"/>
      <c r="C990" s="12"/>
      <c r="D990" s="12"/>
      <c r="G990" s="17"/>
      <c r="H990" s="17"/>
    </row>
    <row r="991">
      <c r="A991" s="27"/>
      <c r="B991" s="12"/>
      <c r="C991" s="12"/>
      <c r="D991" s="12"/>
      <c r="G991" s="17"/>
      <c r="H991" s="17"/>
    </row>
    <row r="992">
      <c r="A992" s="27"/>
      <c r="B992" s="12"/>
      <c r="C992" s="12"/>
      <c r="D992" s="12"/>
      <c r="G992" s="17"/>
      <c r="H992" s="17"/>
    </row>
    <row r="993">
      <c r="A993" s="27"/>
      <c r="B993" s="12"/>
      <c r="C993" s="12"/>
      <c r="D993" s="12"/>
      <c r="G993" s="17"/>
      <c r="H993" s="17"/>
    </row>
    <row r="994">
      <c r="A994" s="27"/>
      <c r="B994" s="12"/>
      <c r="C994" s="12"/>
      <c r="D994" s="12"/>
      <c r="G994" s="17"/>
      <c r="H994" s="17"/>
    </row>
    <row r="995">
      <c r="A995" s="27"/>
      <c r="B995" s="12"/>
      <c r="C995" s="12"/>
      <c r="D995" s="12"/>
      <c r="G995" s="17"/>
      <c r="H995" s="17"/>
    </row>
    <row r="996">
      <c r="A996" s="27"/>
      <c r="B996" s="12"/>
      <c r="C996" s="12"/>
      <c r="D996" s="12"/>
      <c r="G996" s="17"/>
      <c r="H996" s="17"/>
    </row>
    <row r="997">
      <c r="A997" s="27"/>
      <c r="B997" s="12"/>
      <c r="C997" s="12"/>
      <c r="D997" s="12"/>
      <c r="G997" s="17"/>
      <c r="H997" s="17"/>
    </row>
    <row r="998">
      <c r="A998" s="27"/>
      <c r="B998" s="12"/>
      <c r="C998" s="12"/>
      <c r="D998" s="12"/>
      <c r="G998" s="17"/>
      <c r="H998" s="17"/>
    </row>
    <row r="999">
      <c r="A999" s="27"/>
      <c r="B999" s="12"/>
      <c r="C999" s="12"/>
      <c r="D999" s="12"/>
      <c r="G999" s="17"/>
      <c r="H999" s="17"/>
    </row>
    <row r="1000">
      <c r="A1000" s="27"/>
      <c r="B1000" s="12"/>
      <c r="C1000" s="12"/>
      <c r="D1000" s="12"/>
      <c r="G1000" s="17"/>
      <c r="H1000" s="17"/>
    </row>
  </sheetData>
  <hyperlinks>
    <hyperlink r:id="rId1" ref="B1"/>
    <hyperlink r:id="rId2" ref="C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31</v>
      </c>
      <c r="B1" s="28" t="s">
        <v>32</v>
      </c>
      <c r="C1" s="28" t="s">
        <v>33</v>
      </c>
      <c r="E1" s="29"/>
      <c r="F1" s="30" t="s">
        <v>32</v>
      </c>
      <c r="G1" s="31" t="s">
        <v>33</v>
      </c>
    </row>
    <row r="2">
      <c r="A2" s="32">
        <v>1.0</v>
      </c>
      <c r="B2" s="33">
        <v>0.0264818880351263</v>
      </c>
      <c r="C2" s="33">
        <v>0.06259595254710404</v>
      </c>
      <c r="E2" s="34" t="s">
        <v>26</v>
      </c>
      <c r="F2" s="35">
        <f t="shared" ref="F2:G2" si="1">AVERAGE(B2:B53)</f>
        <v>0.003884425445</v>
      </c>
      <c r="G2" s="36">
        <f t="shared" si="1"/>
        <v>0.002354268929</v>
      </c>
    </row>
    <row r="3">
      <c r="A3" s="32">
        <v>2.0</v>
      </c>
      <c r="B3" s="33">
        <v>0.03463940942646215</v>
      </c>
      <c r="C3" s="33">
        <v>-0.011860433043718088</v>
      </c>
      <c r="E3" s="34" t="s">
        <v>27</v>
      </c>
      <c r="F3" s="37">
        <f t="shared" ref="F3:G3" si="2">AVEDEV(B2:B53)*52/51</f>
        <v>0.01592959746</v>
      </c>
      <c r="G3" s="37">
        <f t="shared" si="2"/>
        <v>0.02307176704</v>
      </c>
    </row>
    <row r="4">
      <c r="A4" s="32">
        <v>3.0</v>
      </c>
      <c r="B4" s="33">
        <v>-9.927669834066677E-4</v>
      </c>
      <c r="C4" s="33">
        <v>0.045792168457489124</v>
      </c>
      <c r="E4" s="34" t="s">
        <v>28</v>
      </c>
      <c r="F4" s="37">
        <f t="shared" ref="F4:G4" si="3">_xlfn.VAR.S(B2:B53)</f>
        <v>0.0004097213359</v>
      </c>
      <c r="G4" s="37">
        <f t="shared" si="3"/>
        <v>0.0008112001111</v>
      </c>
    </row>
    <row r="5">
      <c r="A5" s="32">
        <v>4.0</v>
      </c>
      <c r="B5" s="33">
        <v>0.02010995370370372</v>
      </c>
      <c r="C5" s="33">
        <v>-0.016315528126551793</v>
      </c>
      <c r="E5" s="34" t="s">
        <v>29</v>
      </c>
      <c r="F5" s="38">
        <f t="shared" ref="F5:G5" si="4">_xlfn.STDEV.S(B2:B53)</f>
        <v>0.02024157444</v>
      </c>
      <c r="G5" s="39">
        <f t="shared" si="4"/>
        <v>0.02848157494</v>
      </c>
    </row>
    <row r="6">
      <c r="A6" s="32">
        <v>5.0</v>
      </c>
      <c r="B6" s="33">
        <v>-0.010734220695577501</v>
      </c>
      <c r="C6" s="33">
        <v>-0.010806259209879987</v>
      </c>
      <c r="E6" s="29" t="s">
        <v>34</v>
      </c>
      <c r="F6" s="40">
        <f t="shared" ref="F6:G6" si="5">F5/F2</f>
        <v>5.210957123</v>
      </c>
      <c r="G6" s="40">
        <f t="shared" si="5"/>
        <v>12.0978426</v>
      </c>
    </row>
    <row r="7">
      <c r="A7" s="32">
        <v>6.0</v>
      </c>
      <c r="B7" s="33">
        <v>-0.002711961176134703</v>
      </c>
      <c r="C7" s="33">
        <v>-0.029553966632618334</v>
      </c>
      <c r="E7" s="14"/>
      <c r="F7" s="14"/>
      <c r="G7" s="14"/>
    </row>
    <row r="8">
      <c r="A8" s="32">
        <v>7.0</v>
      </c>
      <c r="B8" s="33">
        <v>-0.006522972206466138</v>
      </c>
      <c r="C8" s="33">
        <v>-0.016541655504955788</v>
      </c>
      <c r="E8" s="41" t="s">
        <v>35</v>
      </c>
      <c r="F8" s="42">
        <f t="shared" ref="F8:G8" si="6">MIN(B:B)</f>
        <v>-0.04269384382</v>
      </c>
      <c r="G8" s="42">
        <f t="shared" si="6"/>
        <v>-0.06625891947</v>
      </c>
    </row>
    <row r="9">
      <c r="A9" s="32">
        <v>8.0</v>
      </c>
      <c r="B9" s="33">
        <v>0.014530283412458544</v>
      </c>
      <c r="C9" s="33">
        <v>0.04903751580722204</v>
      </c>
      <c r="E9" s="29" t="s">
        <v>36</v>
      </c>
      <c r="F9" s="42">
        <f t="shared" ref="F9:G9" si="7">MAX(B:B)</f>
        <v>0.07885824867</v>
      </c>
      <c r="G9" s="42">
        <f t="shared" si="7"/>
        <v>0.07046685204</v>
      </c>
    </row>
    <row r="10">
      <c r="A10" s="32">
        <v>9.0</v>
      </c>
      <c r="B10" s="33">
        <v>-0.04269384382316477</v>
      </c>
      <c r="C10" s="33">
        <v>-0.025001712446057978</v>
      </c>
      <c r="E10" s="14"/>
      <c r="F10" s="14"/>
      <c r="G10" s="14"/>
    </row>
    <row r="11">
      <c r="A11" s="32">
        <v>10.0</v>
      </c>
      <c r="B11" s="33">
        <v>0.0023467697404748744</v>
      </c>
      <c r="C11" s="33">
        <v>0.016431107707303605</v>
      </c>
      <c r="E11" s="29" t="s">
        <v>37</v>
      </c>
      <c r="F11" s="42">
        <f t="shared" ref="F11:G11" si="8">F8-F2/F5</f>
        <v>-0.2345971692</v>
      </c>
      <c r="G11" s="42">
        <f t="shared" si="8"/>
        <v>-0.1489182855</v>
      </c>
    </row>
    <row r="12">
      <c r="A12" s="32">
        <v>11.0</v>
      </c>
      <c r="B12" s="33">
        <v>0.025191055759977266</v>
      </c>
      <c r="C12" s="33">
        <v>0.0032830399552947753</v>
      </c>
      <c r="E12" s="29" t="s">
        <v>38</v>
      </c>
      <c r="F12" s="42">
        <f t="shared" ref="F12:G12" si="9">F9-F2/F5</f>
        <v>-0.1130450767</v>
      </c>
      <c r="G12" s="42">
        <f t="shared" si="9"/>
        <v>-0.01219251402</v>
      </c>
    </row>
    <row r="13">
      <c r="A13" s="32">
        <v>12.0</v>
      </c>
      <c r="B13" s="33">
        <v>0.008564087924636032</v>
      </c>
      <c r="C13" s="33">
        <v>0.020312165918323632</v>
      </c>
    </row>
    <row r="14">
      <c r="A14" s="32">
        <v>13.0</v>
      </c>
      <c r="B14" s="33">
        <v>0.0239695995323006</v>
      </c>
      <c r="C14" s="33">
        <v>-0.02147988004742296</v>
      </c>
      <c r="E14" s="43" t="s">
        <v>39</v>
      </c>
      <c r="F14" s="43">
        <v>3.96</v>
      </c>
      <c r="G14" s="14"/>
    </row>
    <row r="15">
      <c r="A15" s="32">
        <v>14.0</v>
      </c>
      <c r="B15" s="33">
        <v>-0.011557353366079104</v>
      </c>
      <c r="C15" s="33">
        <v>-0.036033613445378254</v>
      </c>
      <c r="E15" s="44" t="s">
        <v>40</v>
      </c>
      <c r="F15" s="45">
        <f>F2-F14/F5</f>
        <v>-195.6330712</v>
      </c>
      <c r="G15" s="45">
        <f>G2-F14/G5</f>
        <v>-139.0349008</v>
      </c>
    </row>
    <row r="16">
      <c r="A16" s="32">
        <v>15.0</v>
      </c>
      <c r="B16" s="33">
        <v>0.018540317834019993</v>
      </c>
      <c r="C16" s="33">
        <v>-0.014051832703652178</v>
      </c>
    </row>
    <row r="17">
      <c r="A17" s="32">
        <v>16.0</v>
      </c>
      <c r="B17" s="33">
        <v>0.02088027640078116</v>
      </c>
      <c r="C17" s="33">
        <v>0.024166723236711762</v>
      </c>
    </row>
    <row r="18">
      <c r="A18" s="32">
        <v>17.0</v>
      </c>
      <c r="B18" s="33">
        <v>0.005741048496751722</v>
      </c>
      <c r="C18" s="33">
        <v>0.057046498277841584</v>
      </c>
    </row>
    <row r="19">
      <c r="A19" s="32">
        <v>18.0</v>
      </c>
      <c r="B19" s="33">
        <v>0.015028369881920023</v>
      </c>
      <c r="C19" s="33">
        <v>0.010953935437069351</v>
      </c>
    </row>
    <row r="20">
      <c r="A20" s="32">
        <v>19.0</v>
      </c>
      <c r="B20" s="33">
        <v>-0.0038191261839291</v>
      </c>
      <c r="C20" s="33">
        <v>-0.009271237602414772</v>
      </c>
    </row>
    <row r="21">
      <c r="A21" s="32">
        <v>20.0</v>
      </c>
      <c r="B21" s="33">
        <v>-0.008782556026650679</v>
      </c>
      <c r="C21" s="33">
        <v>-0.01235093696763212</v>
      </c>
    </row>
    <row r="22">
      <c r="A22" s="32">
        <v>21.0</v>
      </c>
      <c r="B22" s="33">
        <v>-0.013886814991787233</v>
      </c>
      <c r="C22" s="33">
        <v>-0.009978917779339569</v>
      </c>
    </row>
    <row r="23">
      <c r="A23" s="32">
        <v>22.0</v>
      </c>
      <c r="B23" s="33">
        <v>-0.015002206206795043</v>
      </c>
      <c r="C23" s="33">
        <v>-0.015156758253166314</v>
      </c>
    </row>
    <row r="24">
      <c r="A24" s="32">
        <v>23.0</v>
      </c>
      <c r="B24" s="33">
        <v>-0.016206048328751277</v>
      </c>
      <c r="C24" s="33">
        <v>-0.006668499931252625</v>
      </c>
    </row>
    <row r="25">
      <c r="A25" s="32">
        <v>24.0</v>
      </c>
      <c r="B25" s="33">
        <v>0.003047895500725595</v>
      </c>
      <c r="C25" s="33">
        <v>-0.0049935016074970084</v>
      </c>
    </row>
    <row r="26">
      <c r="A26" s="32">
        <v>25.0</v>
      </c>
      <c r="B26" s="33">
        <v>-0.006058857472590717</v>
      </c>
      <c r="C26" s="33">
        <v>0.03570669500531354</v>
      </c>
    </row>
    <row r="27">
      <c r="A27" s="32">
        <v>26.0</v>
      </c>
      <c r="B27" s="33">
        <v>0.02151488358384901</v>
      </c>
      <c r="C27" s="33">
        <v>0.04254376246399305</v>
      </c>
    </row>
    <row r="28">
      <c r="A28" s="32">
        <v>27.0</v>
      </c>
      <c r="B28" s="33">
        <v>-0.004401408450704136</v>
      </c>
      <c r="C28" s="33">
        <v>-0.029044750430292643</v>
      </c>
    </row>
    <row r="29">
      <c r="A29" s="32">
        <v>28.0</v>
      </c>
      <c r="B29" s="33">
        <v>-0.009734127560656725</v>
      </c>
      <c r="C29" s="33">
        <v>0.0015082956259426794</v>
      </c>
    </row>
    <row r="30">
      <c r="A30" s="32">
        <v>29.0</v>
      </c>
      <c r="B30" s="33">
        <v>-2.904865649963062E-4</v>
      </c>
      <c r="C30" s="33">
        <v>0.05894432613325229</v>
      </c>
    </row>
    <row r="31">
      <c r="A31" s="32">
        <v>30.0</v>
      </c>
      <c r="B31" s="33">
        <v>-0.020765182762053858</v>
      </c>
      <c r="C31" s="33">
        <v>-8.359297818983924E-4</v>
      </c>
    </row>
    <row r="32">
      <c r="A32" s="32">
        <v>31.0</v>
      </c>
      <c r="B32" s="33">
        <v>0.014427932477276029</v>
      </c>
      <c r="C32" s="33">
        <v>0.03305071439786467</v>
      </c>
    </row>
    <row r="33">
      <c r="A33" s="32">
        <v>32.0</v>
      </c>
      <c r="B33" s="33">
        <v>0.02166863207547176</v>
      </c>
      <c r="C33" s="33">
        <v>0.015303682448589262</v>
      </c>
    </row>
    <row r="34">
      <c r="A34" s="32">
        <v>33.0</v>
      </c>
      <c r="B34" s="33">
        <v>-0.02374442365808016</v>
      </c>
      <c r="C34" s="33">
        <v>-0.01360169824671753</v>
      </c>
    </row>
    <row r="35">
      <c r="A35" s="32">
        <v>34.0</v>
      </c>
      <c r="B35" s="33">
        <v>-0.004726439415640216</v>
      </c>
      <c r="C35" s="33">
        <v>0.017357222844344822</v>
      </c>
    </row>
    <row r="36">
      <c r="A36" s="32">
        <v>35.0</v>
      </c>
      <c r="B36" s="33">
        <v>-0.01034727143869607</v>
      </c>
      <c r="C36" s="33">
        <v>-0.01083946514755918</v>
      </c>
    </row>
    <row r="37">
      <c r="A37" s="32">
        <v>36.0</v>
      </c>
      <c r="B37" s="33">
        <v>0.0045564573544067954</v>
      </c>
      <c r="C37" s="33">
        <v>0.016323576712769405</v>
      </c>
    </row>
    <row r="38">
      <c r="A38" s="32">
        <v>37.0</v>
      </c>
      <c r="B38" s="33">
        <v>-0.0031227821149751867</v>
      </c>
      <c r="C38" s="33">
        <v>-0.020015760441292385</v>
      </c>
    </row>
    <row r="39">
      <c r="A39" s="32">
        <v>38.0</v>
      </c>
      <c r="B39" s="33">
        <v>0.021014492753623326</v>
      </c>
      <c r="C39" s="33">
        <v>0.011800350821240757</v>
      </c>
    </row>
    <row r="40">
      <c r="A40" s="32">
        <v>39.0</v>
      </c>
      <c r="B40" s="33">
        <v>-0.015832263585793704</v>
      </c>
      <c r="C40" s="33">
        <v>-0.024727838258164825</v>
      </c>
    </row>
    <row r="41">
      <c r="A41" s="32">
        <v>40.0</v>
      </c>
      <c r="B41" s="33">
        <v>-0.0035531552018192025</v>
      </c>
      <c r="C41" s="33">
        <v>0.002807236431690452</v>
      </c>
    </row>
    <row r="42">
      <c r="A42" s="32">
        <v>41.0</v>
      </c>
      <c r="B42" s="33">
        <v>-0.014979700405991947</v>
      </c>
      <c r="C42" s="33">
        <v>-0.06625891946992857</v>
      </c>
    </row>
    <row r="43">
      <c r="A43" s="32">
        <v>42.0</v>
      </c>
      <c r="B43" s="33">
        <v>0.02203462584060678</v>
      </c>
      <c r="C43" s="33">
        <v>-0.011017498379779611</v>
      </c>
    </row>
    <row r="44">
      <c r="A44" s="32">
        <v>43.0</v>
      </c>
      <c r="B44" s="33">
        <v>0.021335671489112862</v>
      </c>
      <c r="C44" s="33">
        <v>-0.014826901248581215</v>
      </c>
    </row>
    <row r="45">
      <c r="A45" s="32">
        <v>44.0</v>
      </c>
      <c r="B45" s="33">
        <v>-0.006244554167876726</v>
      </c>
      <c r="C45" s="33">
        <v>-0.01783723522853964</v>
      </c>
    </row>
    <row r="46">
      <c r="A46" s="32">
        <v>45.0</v>
      </c>
      <c r="B46" s="33">
        <v>0.02485488912040479</v>
      </c>
      <c r="C46" s="33">
        <v>0.02624240257418675</v>
      </c>
    </row>
    <row r="47">
      <c r="A47" s="32">
        <v>46.0</v>
      </c>
      <c r="B47" s="33">
        <v>1.488538255431937E-4</v>
      </c>
      <c r="C47" s="33">
        <v>-0.02113809757121865</v>
      </c>
    </row>
    <row r="48">
      <c r="A48" s="32">
        <v>47.0</v>
      </c>
      <c r="B48" s="33">
        <v>-0.031709426347650504</v>
      </c>
      <c r="C48" s="33">
        <v>-0.029349819960595158</v>
      </c>
    </row>
    <row r="49">
      <c r="A49" s="32">
        <v>48.0</v>
      </c>
      <c r="B49" s="33">
        <v>0.00303599826514378</v>
      </c>
      <c r="C49" s="33">
        <v>0.006289738155465852</v>
      </c>
    </row>
    <row r="50">
      <c r="A50" s="32">
        <v>49.0</v>
      </c>
      <c r="B50" s="33">
        <v>-0.002019910546818604</v>
      </c>
      <c r="C50" s="33">
        <v>-1.3671474468512912E-4</v>
      </c>
    </row>
    <row r="51">
      <c r="A51" s="32">
        <v>50.0</v>
      </c>
      <c r="B51" s="33">
        <v>0.03602391629297452</v>
      </c>
      <c r="C51" s="33">
        <v>0.070466852041563</v>
      </c>
    </row>
    <row r="52">
      <c r="A52" s="32">
        <v>51.0</v>
      </c>
      <c r="B52" s="33">
        <v>0.07885824866956948</v>
      </c>
      <c r="C52" s="33">
        <v>-0.00820088540532693</v>
      </c>
    </row>
    <row r="53">
      <c r="A53" s="46"/>
      <c r="B53" s="46"/>
      <c r="C53" s="46"/>
    </row>
    <row r="54">
      <c r="A54" s="46"/>
      <c r="B54" s="46"/>
      <c r="C54" s="46"/>
    </row>
    <row r="55">
      <c r="A55" s="46"/>
      <c r="B55" s="46"/>
      <c r="C55" s="46"/>
    </row>
    <row r="56">
      <c r="A56" s="46"/>
      <c r="B56" s="46"/>
      <c r="C56" s="46"/>
    </row>
    <row r="57">
      <c r="A57" s="46"/>
      <c r="B57" s="46"/>
      <c r="C57" s="46"/>
    </row>
    <row r="58">
      <c r="A58" s="46"/>
      <c r="B58" s="46"/>
      <c r="C58" s="46"/>
    </row>
    <row r="59">
      <c r="A59" s="46"/>
      <c r="B59" s="46"/>
      <c r="C59" s="46"/>
    </row>
    <row r="60">
      <c r="A60" s="46"/>
      <c r="B60" s="46"/>
      <c r="C60" s="46"/>
    </row>
    <row r="61">
      <c r="A61" s="46"/>
      <c r="B61" s="46"/>
      <c r="C61" s="46"/>
    </row>
    <row r="62">
      <c r="A62" s="46"/>
      <c r="B62" s="46"/>
      <c r="C62" s="46"/>
    </row>
    <row r="63">
      <c r="A63" s="46"/>
      <c r="B63" s="46"/>
      <c r="C63" s="46"/>
    </row>
    <row r="64">
      <c r="A64" s="46"/>
      <c r="B64" s="46"/>
      <c r="C64" s="46"/>
    </row>
    <row r="65">
      <c r="A65" s="46"/>
      <c r="B65" s="46"/>
      <c r="C65" s="46"/>
    </row>
    <row r="66">
      <c r="A66" s="46"/>
      <c r="B66" s="46"/>
      <c r="C66" s="46"/>
    </row>
    <row r="67">
      <c r="A67" s="46"/>
      <c r="B67" s="46"/>
      <c r="C67" s="46"/>
    </row>
    <row r="68">
      <c r="A68" s="46"/>
      <c r="B68" s="46"/>
      <c r="C68" s="46"/>
    </row>
    <row r="69">
      <c r="A69" s="46"/>
      <c r="B69" s="46"/>
      <c r="C69" s="46"/>
    </row>
    <row r="70">
      <c r="A70" s="46"/>
      <c r="B70" s="46"/>
      <c r="C70" s="46"/>
    </row>
    <row r="71">
      <c r="A71" s="46"/>
      <c r="B71" s="46"/>
      <c r="C71" s="46"/>
    </row>
    <row r="72">
      <c r="A72" s="46"/>
      <c r="B72" s="46"/>
      <c r="C72" s="46"/>
    </row>
    <row r="73">
      <c r="A73" s="46"/>
      <c r="B73" s="46"/>
      <c r="C73" s="46"/>
    </row>
    <row r="74">
      <c r="A74" s="46"/>
      <c r="B74" s="46"/>
      <c r="C74" s="46"/>
    </row>
    <row r="75">
      <c r="A75" s="46"/>
      <c r="B75" s="46"/>
      <c r="C75" s="46"/>
    </row>
    <row r="76">
      <c r="A76" s="46"/>
      <c r="B76" s="46"/>
      <c r="C76" s="46"/>
    </row>
    <row r="77">
      <c r="A77" s="46"/>
      <c r="B77" s="46"/>
      <c r="C77" s="46"/>
    </row>
    <row r="78">
      <c r="A78" s="46"/>
      <c r="B78" s="46"/>
      <c r="C78" s="46"/>
    </row>
    <row r="79">
      <c r="A79" s="46"/>
      <c r="B79" s="46"/>
      <c r="C79" s="46"/>
    </row>
    <row r="80">
      <c r="A80" s="46"/>
      <c r="B80" s="46"/>
      <c r="C80" s="46"/>
    </row>
    <row r="81">
      <c r="A81" s="46"/>
      <c r="B81" s="46"/>
      <c r="C81" s="46"/>
    </row>
    <row r="82">
      <c r="A82" s="46"/>
      <c r="B82" s="46"/>
      <c r="C82" s="46"/>
    </row>
    <row r="83">
      <c r="A83" s="46"/>
      <c r="B83" s="46"/>
      <c r="C83" s="46"/>
    </row>
    <row r="84">
      <c r="A84" s="46"/>
      <c r="B84" s="46"/>
      <c r="C84" s="46"/>
    </row>
    <row r="85">
      <c r="A85" s="46"/>
      <c r="B85" s="46"/>
      <c r="C85" s="46"/>
    </row>
    <row r="86">
      <c r="A86" s="46"/>
      <c r="B86" s="46"/>
      <c r="C86" s="46"/>
    </row>
    <row r="87">
      <c r="A87" s="46"/>
      <c r="B87" s="46"/>
      <c r="C87" s="46"/>
    </row>
    <row r="88">
      <c r="A88" s="46"/>
      <c r="B88" s="46"/>
      <c r="C88" s="46"/>
    </row>
    <row r="89">
      <c r="A89" s="46"/>
      <c r="B89" s="46"/>
      <c r="C89" s="46"/>
    </row>
    <row r="90">
      <c r="A90" s="46"/>
      <c r="B90" s="46"/>
      <c r="C90" s="46"/>
    </row>
    <row r="91">
      <c r="A91" s="46"/>
      <c r="B91" s="46"/>
      <c r="C91" s="46"/>
    </row>
    <row r="92">
      <c r="A92" s="46"/>
      <c r="B92" s="46"/>
      <c r="C92" s="46"/>
    </row>
    <row r="93">
      <c r="A93" s="46"/>
      <c r="B93" s="46"/>
      <c r="C93" s="46"/>
    </row>
    <row r="94">
      <c r="A94" s="46"/>
      <c r="B94" s="46"/>
      <c r="C94" s="46"/>
    </row>
    <row r="95">
      <c r="A95" s="46"/>
      <c r="B95" s="46"/>
      <c r="C95" s="46"/>
    </row>
    <row r="96">
      <c r="A96" s="46"/>
      <c r="B96" s="46"/>
      <c r="C96" s="46"/>
    </row>
    <row r="97">
      <c r="A97" s="46"/>
      <c r="B97" s="46"/>
      <c r="C97" s="46"/>
    </row>
    <row r="98">
      <c r="A98" s="46"/>
      <c r="B98" s="46"/>
      <c r="C98" s="46"/>
    </row>
    <row r="99">
      <c r="A99" s="46"/>
      <c r="B99" s="46"/>
      <c r="C99" s="46"/>
    </row>
    <row r="100">
      <c r="A100" s="46"/>
      <c r="B100" s="46"/>
      <c r="C100" s="46"/>
    </row>
    <row r="101">
      <c r="A101" s="46"/>
      <c r="B101" s="46"/>
      <c r="C101" s="46"/>
    </row>
    <row r="102">
      <c r="A102" s="46"/>
      <c r="B102" s="46"/>
      <c r="C102" s="46"/>
    </row>
    <row r="103">
      <c r="A103" s="46"/>
      <c r="B103" s="46"/>
      <c r="C103" s="46"/>
    </row>
    <row r="104">
      <c r="A104" s="46"/>
      <c r="B104" s="46"/>
      <c r="C104" s="46"/>
    </row>
    <row r="105">
      <c r="A105" s="46"/>
      <c r="B105" s="46"/>
      <c r="C105" s="46"/>
    </row>
    <row r="106">
      <c r="A106" s="46"/>
      <c r="B106" s="46"/>
      <c r="C106" s="46"/>
    </row>
    <row r="107">
      <c r="A107" s="46"/>
      <c r="B107" s="46"/>
      <c r="C107" s="46"/>
    </row>
    <row r="108">
      <c r="A108" s="46"/>
      <c r="B108" s="46"/>
      <c r="C108" s="46"/>
    </row>
    <row r="109">
      <c r="A109" s="46"/>
      <c r="B109" s="46"/>
      <c r="C109" s="46"/>
    </row>
    <row r="110">
      <c r="A110" s="46"/>
      <c r="B110" s="46"/>
      <c r="C110" s="46"/>
    </row>
    <row r="111">
      <c r="A111" s="46"/>
      <c r="B111" s="46"/>
      <c r="C111" s="46"/>
    </row>
    <row r="112">
      <c r="A112" s="46"/>
      <c r="B112" s="46"/>
      <c r="C112" s="46"/>
    </row>
    <row r="113">
      <c r="A113" s="46"/>
      <c r="B113" s="46"/>
      <c r="C113" s="46"/>
    </row>
    <row r="114">
      <c r="A114" s="46"/>
      <c r="B114" s="46"/>
      <c r="C114" s="46"/>
    </row>
    <row r="115">
      <c r="A115" s="46"/>
      <c r="B115" s="46"/>
      <c r="C115" s="46"/>
    </row>
    <row r="116">
      <c r="A116" s="46"/>
      <c r="B116" s="46"/>
      <c r="C116" s="46"/>
    </row>
    <row r="117">
      <c r="A117" s="46"/>
      <c r="B117" s="46"/>
      <c r="C117" s="46"/>
    </row>
    <row r="118">
      <c r="A118" s="46"/>
      <c r="B118" s="46"/>
      <c r="C118" s="46"/>
    </row>
    <row r="119">
      <c r="A119" s="46"/>
      <c r="B119" s="46"/>
      <c r="C119" s="46"/>
    </row>
    <row r="120">
      <c r="A120" s="46"/>
      <c r="B120" s="46"/>
      <c r="C120" s="46"/>
    </row>
    <row r="121">
      <c r="A121" s="46"/>
      <c r="B121" s="46"/>
      <c r="C121" s="46"/>
    </row>
    <row r="122">
      <c r="A122" s="46"/>
      <c r="B122" s="46"/>
      <c r="C122" s="46"/>
    </row>
    <row r="123">
      <c r="A123" s="46"/>
      <c r="B123" s="46"/>
      <c r="C123" s="46"/>
    </row>
    <row r="124">
      <c r="A124" s="46"/>
      <c r="B124" s="46"/>
      <c r="C124" s="46"/>
    </row>
    <row r="125">
      <c r="A125" s="46"/>
      <c r="B125" s="46"/>
      <c r="C125" s="46"/>
    </row>
    <row r="126">
      <c r="A126" s="46"/>
      <c r="B126" s="46"/>
      <c r="C126" s="46"/>
    </row>
    <row r="127">
      <c r="A127" s="46"/>
      <c r="B127" s="46"/>
      <c r="C127" s="46"/>
    </row>
    <row r="128">
      <c r="A128" s="46"/>
      <c r="B128" s="46"/>
      <c r="C128" s="46"/>
    </row>
    <row r="129">
      <c r="A129" s="46"/>
      <c r="B129" s="46"/>
      <c r="C129" s="46"/>
    </row>
    <row r="130">
      <c r="A130" s="46"/>
      <c r="B130" s="46"/>
      <c r="C130" s="46"/>
    </row>
    <row r="131">
      <c r="A131" s="46"/>
      <c r="B131" s="46"/>
      <c r="C131" s="46"/>
    </row>
    <row r="132">
      <c r="A132" s="46"/>
      <c r="B132" s="46"/>
      <c r="C132" s="46"/>
    </row>
    <row r="133">
      <c r="A133" s="46"/>
      <c r="B133" s="46"/>
      <c r="C133" s="46"/>
    </row>
    <row r="134">
      <c r="A134" s="46"/>
      <c r="B134" s="46"/>
      <c r="C134" s="46"/>
    </row>
    <row r="135">
      <c r="A135" s="46"/>
      <c r="B135" s="46"/>
      <c r="C135" s="46"/>
    </row>
    <row r="136">
      <c r="A136" s="46"/>
      <c r="B136" s="46"/>
      <c r="C136" s="46"/>
    </row>
    <row r="137">
      <c r="A137" s="46"/>
      <c r="B137" s="46"/>
      <c r="C137" s="46"/>
    </row>
    <row r="138">
      <c r="A138" s="46"/>
      <c r="B138" s="46"/>
      <c r="C138" s="46"/>
    </row>
    <row r="139">
      <c r="A139" s="46"/>
      <c r="B139" s="46"/>
      <c r="C139" s="46"/>
    </row>
    <row r="140">
      <c r="A140" s="46"/>
      <c r="B140" s="46"/>
      <c r="C140" s="46"/>
    </row>
    <row r="141">
      <c r="A141" s="46"/>
      <c r="B141" s="46"/>
      <c r="C141" s="46"/>
    </row>
    <row r="142">
      <c r="A142" s="46"/>
      <c r="B142" s="46"/>
      <c r="C142" s="46"/>
    </row>
    <row r="143">
      <c r="A143" s="46"/>
      <c r="B143" s="46"/>
      <c r="C143" s="46"/>
    </row>
    <row r="144">
      <c r="A144" s="46"/>
      <c r="B144" s="46"/>
      <c r="C144" s="46"/>
    </row>
    <row r="145">
      <c r="A145" s="46"/>
      <c r="B145" s="46"/>
      <c r="C145" s="46"/>
    </row>
    <row r="146">
      <c r="A146" s="46"/>
      <c r="B146" s="46"/>
      <c r="C146" s="46"/>
    </row>
    <row r="147">
      <c r="A147" s="46"/>
      <c r="B147" s="46"/>
      <c r="C147" s="46"/>
    </row>
    <row r="148">
      <c r="A148" s="46"/>
      <c r="B148" s="46"/>
      <c r="C148" s="46"/>
    </row>
    <row r="149">
      <c r="A149" s="46"/>
      <c r="B149" s="46"/>
      <c r="C149" s="46"/>
    </row>
    <row r="150">
      <c r="A150" s="46"/>
      <c r="B150" s="46"/>
      <c r="C150" s="46"/>
    </row>
    <row r="151">
      <c r="A151" s="46"/>
      <c r="B151" s="46"/>
      <c r="C151" s="46"/>
    </row>
    <row r="152">
      <c r="A152" s="46"/>
      <c r="B152" s="46"/>
      <c r="C152" s="46"/>
    </row>
    <row r="153">
      <c r="A153" s="46"/>
      <c r="B153" s="46"/>
      <c r="C153" s="46"/>
    </row>
    <row r="154">
      <c r="A154" s="46"/>
      <c r="B154" s="46"/>
      <c r="C154" s="46"/>
    </row>
    <row r="155">
      <c r="A155" s="46"/>
      <c r="B155" s="46"/>
      <c r="C155" s="46"/>
    </row>
    <row r="156">
      <c r="A156" s="46"/>
      <c r="B156" s="46"/>
      <c r="C156" s="46"/>
    </row>
    <row r="157">
      <c r="A157" s="46"/>
      <c r="B157" s="46"/>
      <c r="C157" s="46"/>
    </row>
    <row r="158">
      <c r="A158" s="46"/>
      <c r="B158" s="46"/>
      <c r="C158" s="46"/>
    </row>
    <row r="159">
      <c r="A159" s="46"/>
      <c r="B159" s="46"/>
      <c r="C159" s="46"/>
    </row>
    <row r="160">
      <c r="A160" s="46"/>
      <c r="B160" s="46"/>
      <c r="C160" s="46"/>
    </row>
    <row r="161">
      <c r="A161" s="46"/>
      <c r="B161" s="46"/>
      <c r="C161" s="46"/>
    </row>
    <row r="162">
      <c r="A162" s="46"/>
      <c r="B162" s="46"/>
      <c r="C162" s="46"/>
    </row>
    <row r="163">
      <c r="A163" s="46"/>
      <c r="B163" s="46"/>
      <c r="C163" s="46"/>
    </row>
    <row r="164">
      <c r="A164" s="46"/>
      <c r="B164" s="46"/>
      <c r="C164" s="46"/>
    </row>
    <row r="165">
      <c r="A165" s="46"/>
      <c r="B165" s="46"/>
      <c r="C165" s="46"/>
    </row>
    <row r="166">
      <c r="A166" s="46"/>
      <c r="B166" s="46"/>
      <c r="C166" s="46"/>
    </row>
    <row r="167">
      <c r="A167" s="46"/>
      <c r="B167" s="46"/>
      <c r="C167" s="46"/>
    </row>
    <row r="168">
      <c r="A168" s="46"/>
      <c r="B168" s="46"/>
      <c r="C168" s="46"/>
    </row>
    <row r="169">
      <c r="A169" s="46"/>
      <c r="B169" s="46"/>
      <c r="C169" s="46"/>
    </row>
    <row r="170">
      <c r="A170" s="46"/>
      <c r="B170" s="46"/>
      <c r="C170" s="46"/>
    </row>
    <row r="171">
      <c r="A171" s="46"/>
      <c r="B171" s="46"/>
      <c r="C171" s="46"/>
    </row>
    <row r="172">
      <c r="A172" s="46"/>
      <c r="B172" s="46"/>
      <c r="C172" s="46"/>
    </row>
    <row r="173">
      <c r="A173" s="46"/>
      <c r="B173" s="46"/>
      <c r="C173" s="46"/>
    </row>
    <row r="174">
      <c r="A174" s="46"/>
      <c r="B174" s="46"/>
      <c r="C174" s="46"/>
    </row>
    <row r="175">
      <c r="A175" s="46"/>
      <c r="B175" s="46"/>
      <c r="C175" s="46"/>
    </row>
    <row r="176">
      <c r="A176" s="46"/>
      <c r="B176" s="46"/>
      <c r="C176" s="46"/>
    </row>
    <row r="177">
      <c r="A177" s="46"/>
      <c r="B177" s="46"/>
      <c r="C177" s="46"/>
    </row>
    <row r="178">
      <c r="A178" s="46"/>
      <c r="B178" s="46"/>
      <c r="C178" s="46"/>
    </row>
    <row r="179">
      <c r="A179" s="46"/>
      <c r="B179" s="46"/>
      <c r="C179" s="46"/>
    </row>
    <row r="180">
      <c r="A180" s="46"/>
      <c r="B180" s="46"/>
      <c r="C180" s="46"/>
    </row>
    <row r="181">
      <c r="A181" s="46"/>
      <c r="B181" s="46"/>
      <c r="C181" s="46"/>
    </row>
    <row r="182">
      <c r="A182" s="46"/>
      <c r="B182" s="46"/>
      <c r="C182" s="46"/>
    </row>
    <row r="183">
      <c r="A183" s="46"/>
      <c r="B183" s="46"/>
      <c r="C183" s="46"/>
    </row>
    <row r="184">
      <c r="A184" s="46"/>
      <c r="B184" s="46"/>
      <c r="C184" s="46"/>
    </row>
    <row r="185">
      <c r="A185" s="46"/>
      <c r="B185" s="46"/>
      <c r="C185" s="46"/>
    </row>
    <row r="186">
      <c r="A186" s="46"/>
      <c r="B186" s="46"/>
      <c r="C186" s="46"/>
    </row>
    <row r="187">
      <c r="A187" s="46"/>
      <c r="B187" s="46"/>
      <c r="C187" s="46"/>
    </row>
    <row r="188">
      <c r="A188" s="46"/>
      <c r="B188" s="46"/>
      <c r="C188" s="46"/>
    </row>
    <row r="189">
      <c r="A189" s="46"/>
      <c r="B189" s="46"/>
      <c r="C189" s="46"/>
    </row>
    <row r="190">
      <c r="A190" s="46"/>
      <c r="B190" s="46"/>
      <c r="C190" s="46"/>
    </row>
    <row r="191">
      <c r="A191" s="46"/>
      <c r="B191" s="46"/>
      <c r="C191" s="46"/>
    </row>
    <row r="192">
      <c r="A192" s="46"/>
      <c r="B192" s="46"/>
      <c r="C192" s="46"/>
    </row>
    <row r="193">
      <c r="A193" s="46"/>
      <c r="B193" s="46"/>
      <c r="C193" s="46"/>
    </row>
    <row r="194">
      <c r="A194" s="46"/>
      <c r="B194" s="46"/>
      <c r="C194" s="46"/>
    </row>
    <row r="195">
      <c r="A195" s="46"/>
      <c r="B195" s="46"/>
      <c r="C195" s="46"/>
    </row>
    <row r="196">
      <c r="A196" s="46"/>
      <c r="B196" s="46"/>
      <c r="C196" s="46"/>
    </row>
    <row r="197">
      <c r="A197" s="46"/>
      <c r="B197" s="46"/>
      <c r="C197" s="46"/>
    </row>
    <row r="198">
      <c r="A198" s="46"/>
      <c r="B198" s="46"/>
      <c r="C198" s="46"/>
    </row>
    <row r="199">
      <c r="A199" s="46"/>
      <c r="B199" s="46"/>
      <c r="C199" s="46"/>
    </row>
    <row r="200">
      <c r="A200" s="46"/>
      <c r="B200" s="46"/>
      <c r="C200" s="46"/>
    </row>
    <row r="201">
      <c r="A201" s="46"/>
      <c r="B201" s="46"/>
      <c r="C201" s="46"/>
    </row>
    <row r="202">
      <c r="A202" s="46"/>
      <c r="B202" s="46"/>
      <c r="C202" s="46"/>
    </row>
    <row r="203">
      <c r="A203" s="46"/>
      <c r="B203" s="46"/>
      <c r="C203" s="46"/>
    </row>
    <row r="204">
      <c r="A204" s="46"/>
      <c r="B204" s="46"/>
      <c r="C204" s="46"/>
    </row>
    <row r="205">
      <c r="A205" s="46"/>
      <c r="B205" s="46"/>
      <c r="C205" s="46"/>
    </row>
    <row r="206">
      <c r="A206" s="46"/>
      <c r="B206" s="46"/>
      <c r="C206" s="46"/>
    </row>
    <row r="207">
      <c r="A207" s="46"/>
      <c r="B207" s="46"/>
      <c r="C207" s="46"/>
    </row>
    <row r="208">
      <c r="A208" s="46"/>
      <c r="B208" s="46"/>
      <c r="C208" s="46"/>
    </row>
    <row r="209">
      <c r="A209" s="46"/>
      <c r="B209" s="46"/>
      <c r="C209" s="46"/>
    </row>
    <row r="210">
      <c r="A210" s="46"/>
      <c r="B210" s="46"/>
      <c r="C210" s="46"/>
    </row>
    <row r="211">
      <c r="A211" s="46"/>
      <c r="B211" s="46"/>
      <c r="C211" s="46"/>
    </row>
    <row r="212">
      <c r="A212" s="46"/>
      <c r="B212" s="46"/>
      <c r="C212" s="46"/>
    </row>
    <row r="213">
      <c r="A213" s="46"/>
      <c r="B213" s="46"/>
      <c r="C213" s="46"/>
    </row>
    <row r="214">
      <c r="A214" s="46"/>
      <c r="B214" s="46"/>
      <c r="C214" s="46"/>
    </row>
    <row r="215">
      <c r="A215" s="46"/>
      <c r="B215" s="46"/>
      <c r="C215" s="46"/>
    </row>
    <row r="216">
      <c r="A216" s="46"/>
      <c r="B216" s="46"/>
      <c r="C216" s="46"/>
    </row>
    <row r="217">
      <c r="A217" s="46"/>
      <c r="B217" s="46"/>
      <c r="C217" s="46"/>
    </row>
    <row r="218">
      <c r="A218" s="46"/>
      <c r="B218" s="46"/>
      <c r="C218" s="46"/>
    </row>
    <row r="219">
      <c r="A219" s="46"/>
      <c r="B219" s="46"/>
      <c r="C219" s="46"/>
    </row>
    <row r="220">
      <c r="A220" s="46"/>
      <c r="B220" s="46"/>
      <c r="C220" s="46"/>
    </row>
    <row r="221">
      <c r="A221" s="46"/>
      <c r="B221" s="46"/>
      <c r="C221" s="46"/>
    </row>
    <row r="222">
      <c r="A222" s="46"/>
      <c r="B222" s="46"/>
      <c r="C222" s="46"/>
    </row>
    <row r="223">
      <c r="A223" s="46"/>
      <c r="B223" s="46"/>
      <c r="C223" s="46"/>
    </row>
    <row r="224">
      <c r="A224" s="46"/>
      <c r="B224" s="46"/>
      <c r="C224" s="46"/>
    </row>
    <row r="225">
      <c r="A225" s="46"/>
      <c r="B225" s="46"/>
      <c r="C225" s="46"/>
    </row>
    <row r="226">
      <c r="A226" s="46"/>
      <c r="B226" s="46"/>
      <c r="C226" s="46"/>
    </row>
    <row r="227">
      <c r="A227" s="46"/>
      <c r="B227" s="46"/>
      <c r="C227" s="46"/>
    </row>
    <row r="228">
      <c r="A228" s="46"/>
      <c r="B228" s="46"/>
      <c r="C228" s="46"/>
    </row>
    <row r="229">
      <c r="A229" s="46"/>
      <c r="B229" s="46"/>
      <c r="C229" s="46"/>
    </row>
    <row r="230">
      <c r="A230" s="46"/>
      <c r="B230" s="46"/>
      <c r="C230" s="46"/>
    </row>
    <row r="231">
      <c r="A231" s="46"/>
      <c r="B231" s="46"/>
      <c r="C231" s="46"/>
    </row>
    <row r="232">
      <c r="A232" s="46"/>
      <c r="B232" s="46"/>
      <c r="C232" s="46"/>
    </row>
    <row r="233">
      <c r="A233" s="46"/>
      <c r="B233" s="46"/>
      <c r="C233" s="46"/>
    </row>
    <row r="234">
      <c r="A234" s="46"/>
      <c r="B234" s="46"/>
      <c r="C234" s="46"/>
    </row>
    <row r="235">
      <c r="A235" s="46"/>
      <c r="B235" s="46"/>
      <c r="C235" s="46"/>
    </row>
    <row r="236">
      <c r="A236" s="46"/>
      <c r="B236" s="46"/>
      <c r="C236" s="46"/>
    </row>
    <row r="237">
      <c r="A237" s="46"/>
      <c r="B237" s="46"/>
      <c r="C237" s="46"/>
    </row>
    <row r="238">
      <c r="A238" s="46"/>
      <c r="B238" s="46"/>
      <c r="C238" s="46"/>
    </row>
    <row r="239">
      <c r="A239" s="46"/>
      <c r="B239" s="46"/>
      <c r="C239" s="46"/>
    </row>
    <row r="240">
      <c r="A240" s="46"/>
      <c r="B240" s="46"/>
      <c r="C240" s="46"/>
    </row>
    <row r="241">
      <c r="A241" s="46"/>
      <c r="B241" s="46"/>
      <c r="C241" s="46"/>
    </row>
    <row r="242">
      <c r="A242" s="46"/>
      <c r="B242" s="46"/>
      <c r="C242" s="46"/>
    </row>
    <row r="243">
      <c r="A243" s="46"/>
      <c r="B243" s="46"/>
      <c r="C243" s="46"/>
    </row>
    <row r="244">
      <c r="A244" s="46"/>
      <c r="B244" s="46"/>
      <c r="C244" s="46"/>
    </row>
    <row r="245">
      <c r="A245" s="46"/>
      <c r="B245" s="46"/>
      <c r="C245" s="46"/>
    </row>
    <row r="246">
      <c r="A246" s="46"/>
      <c r="B246" s="46"/>
      <c r="C246" s="46"/>
    </row>
    <row r="247">
      <c r="A247" s="46"/>
      <c r="B247" s="46"/>
      <c r="C247" s="46"/>
    </row>
    <row r="248">
      <c r="A248" s="46"/>
      <c r="B248" s="46"/>
      <c r="C248" s="46"/>
    </row>
    <row r="249">
      <c r="A249" s="46"/>
      <c r="B249" s="46"/>
      <c r="C249" s="46"/>
    </row>
    <row r="250">
      <c r="A250" s="46"/>
      <c r="B250" s="46"/>
      <c r="C250" s="46"/>
    </row>
    <row r="251">
      <c r="A251" s="46"/>
      <c r="B251" s="46"/>
      <c r="C251" s="46"/>
    </row>
    <row r="252">
      <c r="A252" s="46"/>
      <c r="B252" s="46"/>
      <c r="C252" s="46"/>
    </row>
    <row r="253">
      <c r="A253" s="46"/>
      <c r="B253" s="46"/>
      <c r="C253" s="46"/>
    </row>
    <row r="254">
      <c r="A254" s="46"/>
      <c r="B254" s="46"/>
      <c r="C254" s="46"/>
    </row>
    <row r="255">
      <c r="A255" s="46"/>
      <c r="B255" s="46"/>
      <c r="C255" s="46"/>
    </row>
    <row r="256">
      <c r="A256" s="46"/>
      <c r="B256" s="46"/>
      <c r="C256" s="46"/>
    </row>
    <row r="257">
      <c r="A257" s="46"/>
      <c r="B257" s="46"/>
      <c r="C257" s="46"/>
    </row>
    <row r="258">
      <c r="A258" s="46"/>
      <c r="B258" s="46"/>
      <c r="C258" s="46"/>
    </row>
    <row r="259">
      <c r="A259" s="46"/>
      <c r="B259" s="46"/>
      <c r="C259" s="46"/>
    </row>
    <row r="260">
      <c r="A260" s="46"/>
      <c r="B260" s="46"/>
      <c r="C260" s="46"/>
    </row>
    <row r="261">
      <c r="A261" s="46"/>
      <c r="B261" s="46"/>
      <c r="C261" s="46"/>
    </row>
    <row r="262">
      <c r="A262" s="46"/>
      <c r="B262" s="46"/>
      <c r="C262" s="46"/>
    </row>
    <row r="263">
      <c r="A263" s="46"/>
      <c r="B263" s="46"/>
      <c r="C263" s="46"/>
    </row>
    <row r="264">
      <c r="A264" s="46"/>
      <c r="B264" s="46"/>
      <c r="C264" s="46"/>
    </row>
    <row r="265">
      <c r="A265" s="46"/>
      <c r="B265" s="46"/>
      <c r="C265" s="46"/>
    </row>
    <row r="266">
      <c r="A266" s="46"/>
      <c r="B266" s="46"/>
      <c r="C266" s="46"/>
    </row>
    <row r="267">
      <c r="A267" s="46"/>
      <c r="B267" s="46"/>
      <c r="C267" s="46"/>
    </row>
    <row r="268">
      <c r="A268" s="46"/>
      <c r="B268" s="46"/>
      <c r="C268" s="46"/>
    </row>
    <row r="269">
      <c r="A269" s="46"/>
      <c r="B269" s="46"/>
      <c r="C269" s="46"/>
    </row>
    <row r="270">
      <c r="A270" s="46"/>
      <c r="B270" s="46"/>
      <c r="C270" s="46"/>
    </row>
    <row r="271">
      <c r="A271" s="46"/>
      <c r="B271" s="46"/>
      <c r="C271" s="46"/>
    </row>
    <row r="272">
      <c r="A272" s="46"/>
      <c r="B272" s="46"/>
      <c r="C272" s="46"/>
    </row>
    <row r="273">
      <c r="A273" s="46"/>
      <c r="B273" s="46"/>
      <c r="C273" s="46"/>
    </row>
    <row r="274">
      <c r="A274" s="46"/>
      <c r="B274" s="46"/>
      <c r="C274" s="46"/>
    </row>
    <row r="275">
      <c r="A275" s="46"/>
      <c r="B275" s="46"/>
      <c r="C275" s="46"/>
    </row>
    <row r="276">
      <c r="A276" s="46"/>
      <c r="B276" s="46"/>
      <c r="C276" s="46"/>
    </row>
    <row r="277">
      <c r="A277" s="46"/>
      <c r="B277" s="46"/>
      <c r="C277" s="46"/>
    </row>
    <row r="278">
      <c r="A278" s="46"/>
      <c r="B278" s="46"/>
      <c r="C278" s="46"/>
    </row>
    <row r="279">
      <c r="A279" s="46"/>
      <c r="B279" s="46"/>
      <c r="C279" s="46"/>
    </row>
    <row r="280">
      <c r="A280" s="46"/>
      <c r="B280" s="46"/>
      <c r="C280" s="46"/>
    </row>
    <row r="281">
      <c r="A281" s="46"/>
      <c r="B281" s="46"/>
      <c r="C281" s="46"/>
    </row>
    <row r="282">
      <c r="A282" s="46"/>
      <c r="B282" s="46"/>
      <c r="C282" s="46"/>
    </row>
    <row r="283">
      <c r="A283" s="46"/>
      <c r="B283" s="46"/>
      <c r="C283" s="46"/>
    </row>
    <row r="284">
      <c r="A284" s="46"/>
      <c r="B284" s="46"/>
      <c r="C284" s="46"/>
    </row>
    <row r="285">
      <c r="A285" s="46"/>
      <c r="B285" s="46"/>
      <c r="C285" s="46"/>
    </row>
    <row r="286">
      <c r="A286" s="46"/>
      <c r="B286" s="46"/>
      <c r="C286" s="46"/>
    </row>
    <row r="287">
      <c r="A287" s="46"/>
      <c r="B287" s="46"/>
      <c r="C287" s="46"/>
    </row>
    <row r="288">
      <c r="A288" s="46"/>
      <c r="B288" s="46"/>
      <c r="C288" s="46"/>
    </row>
    <row r="289">
      <c r="A289" s="46"/>
      <c r="B289" s="46"/>
      <c r="C289" s="46"/>
    </row>
    <row r="290">
      <c r="A290" s="46"/>
      <c r="B290" s="46"/>
      <c r="C290" s="46"/>
    </row>
    <row r="291">
      <c r="A291" s="46"/>
      <c r="B291" s="46"/>
      <c r="C291" s="46"/>
    </row>
    <row r="292">
      <c r="A292" s="46"/>
      <c r="B292" s="46"/>
      <c r="C292" s="46"/>
    </row>
    <row r="293">
      <c r="A293" s="46"/>
      <c r="B293" s="46"/>
      <c r="C293" s="46"/>
    </row>
    <row r="294">
      <c r="A294" s="46"/>
      <c r="B294" s="46"/>
      <c r="C294" s="46"/>
    </row>
    <row r="295">
      <c r="A295" s="46"/>
      <c r="B295" s="46"/>
      <c r="C295" s="46"/>
    </row>
    <row r="296">
      <c r="A296" s="46"/>
      <c r="B296" s="46"/>
      <c r="C296" s="46"/>
    </row>
    <row r="297">
      <c r="A297" s="46"/>
      <c r="B297" s="46"/>
      <c r="C297" s="46"/>
    </row>
    <row r="298">
      <c r="A298" s="46"/>
      <c r="B298" s="46"/>
      <c r="C298" s="46"/>
    </row>
    <row r="299">
      <c r="A299" s="46"/>
      <c r="B299" s="46"/>
      <c r="C299" s="46"/>
    </row>
    <row r="300">
      <c r="A300" s="46"/>
      <c r="B300" s="46"/>
      <c r="C300" s="46"/>
    </row>
    <row r="301">
      <c r="A301" s="46"/>
      <c r="B301" s="46"/>
      <c r="C301" s="46"/>
    </row>
    <row r="302">
      <c r="A302" s="46"/>
      <c r="B302" s="46"/>
      <c r="C302" s="46"/>
    </row>
    <row r="303">
      <c r="A303" s="46"/>
      <c r="B303" s="46"/>
      <c r="C303" s="46"/>
    </row>
    <row r="304">
      <c r="A304" s="46"/>
      <c r="B304" s="46"/>
      <c r="C304" s="46"/>
    </row>
    <row r="305">
      <c r="A305" s="46"/>
      <c r="B305" s="46"/>
      <c r="C305" s="46"/>
    </row>
    <row r="306">
      <c r="A306" s="46"/>
      <c r="B306" s="46"/>
      <c r="C306" s="46"/>
    </row>
    <row r="307">
      <c r="A307" s="46"/>
      <c r="B307" s="46"/>
      <c r="C307" s="46"/>
    </row>
    <row r="308">
      <c r="A308" s="46"/>
      <c r="B308" s="46"/>
      <c r="C308" s="46"/>
    </row>
    <row r="309">
      <c r="A309" s="46"/>
      <c r="B309" s="46"/>
      <c r="C309" s="46"/>
    </row>
    <row r="310">
      <c r="A310" s="46"/>
      <c r="B310" s="46"/>
      <c r="C310" s="46"/>
    </row>
    <row r="311">
      <c r="A311" s="46"/>
      <c r="B311" s="46"/>
      <c r="C311" s="46"/>
    </row>
    <row r="312">
      <c r="A312" s="46"/>
      <c r="B312" s="46"/>
      <c r="C312" s="46"/>
    </row>
    <row r="313">
      <c r="A313" s="46"/>
      <c r="B313" s="46"/>
      <c r="C313" s="46"/>
    </row>
    <row r="314">
      <c r="A314" s="46"/>
      <c r="B314" s="46"/>
      <c r="C314" s="46"/>
    </row>
    <row r="315">
      <c r="A315" s="46"/>
      <c r="B315" s="46"/>
      <c r="C315" s="46"/>
    </row>
    <row r="316">
      <c r="A316" s="46"/>
      <c r="B316" s="46"/>
      <c r="C316" s="46"/>
    </row>
    <row r="317">
      <c r="A317" s="46"/>
      <c r="B317" s="46"/>
      <c r="C317" s="46"/>
    </row>
    <row r="318">
      <c r="A318" s="46"/>
      <c r="B318" s="46"/>
      <c r="C318" s="46"/>
    </row>
    <row r="319">
      <c r="A319" s="46"/>
      <c r="B319" s="46"/>
      <c r="C319" s="46"/>
    </row>
    <row r="320">
      <c r="A320" s="46"/>
      <c r="B320" s="46"/>
      <c r="C320" s="46"/>
    </row>
    <row r="321">
      <c r="A321" s="46"/>
      <c r="B321" s="46"/>
      <c r="C321" s="46"/>
    </row>
    <row r="322">
      <c r="A322" s="46"/>
      <c r="B322" s="46"/>
      <c r="C322" s="46"/>
    </row>
    <row r="323">
      <c r="A323" s="46"/>
      <c r="B323" s="46"/>
      <c r="C323" s="46"/>
    </row>
    <row r="324">
      <c r="A324" s="46"/>
      <c r="B324" s="46"/>
      <c r="C324" s="46"/>
    </row>
    <row r="325">
      <c r="A325" s="46"/>
      <c r="B325" s="46"/>
      <c r="C325" s="46"/>
    </row>
    <row r="326">
      <c r="A326" s="46"/>
      <c r="B326" s="46"/>
      <c r="C326" s="46"/>
    </row>
    <row r="327">
      <c r="A327" s="46"/>
      <c r="B327" s="46"/>
      <c r="C327" s="46"/>
    </row>
    <row r="328">
      <c r="A328" s="46"/>
      <c r="B328" s="46"/>
      <c r="C328" s="46"/>
    </row>
    <row r="329">
      <c r="A329" s="46"/>
      <c r="B329" s="46"/>
      <c r="C329" s="46"/>
    </row>
    <row r="330">
      <c r="A330" s="46"/>
      <c r="B330" s="46"/>
      <c r="C330" s="46"/>
    </row>
    <row r="331">
      <c r="A331" s="46"/>
      <c r="B331" s="46"/>
      <c r="C331" s="46"/>
    </row>
    <row r="332">
      <c r="A332" s="46"/>
      <c r="B332" s="46"/>
      <c r="C332" s="46"/>
    </row>
    <row r="333">
      <c r="A333" s="46"/>
      <c r="B333" s="46"/>
      <c r="C333" s="46"/>
    </row>
    <row r="334">
      <c r="A334" s="46"/>
      <c r="B334" s="46"/>
      <c r="C334" s="46"/>
    </row>
    <row r="335">
      <c r="A335" s="46"/>
      <c r="B335" s="46"/>
      <c r="C335" s="46"/>
    </row>
    <row r="336">
      <c r="A336" s="46"/>
      <c r="B336" s="46"/>
      <c r="C336" s="46"/>
    </row>
    <row r="337">
      <c r="A337" s="46"/>
      <c r="B337" s="46"/>
      <c r="C337" s="46"/>
    </row>
    <row r="338">
      <c r="A338" s="46"/>
      <c r="B338" s="46"/>
      <c r="C338" s="46"/>
    </row>
    <row r="339">
      <c r="A339" s="46"/>
      <c r="B339" s="46"/>
      <c r="C339" s="46"/>
    </row>
    <row r="340">
      <c r="A340" s="46"/>
      <c r="B340" s="46"/>
      <c r="C340" s="46"/>
    </row>
    <row r="341">
      <c r="A341" s="46"/>
      <c r="B341" s="46"/>
      <c r="C341" s="46"/>
    </row>
    <row r="342">
      <c r="A342" s="46"/>
      <c r="B342" s="46"/>
      <c r="C342" s="46"/>
    </row>
    <row r="343">
      <c r="A343" s="46"/>
      <c r="B343" s="46"/>
      <c r="C343" s="46"/>
    </row>
    <row r="344">
      <c r="A344" s="46"/>
      <c r="B344" s="46"/>
      <c r="C344" s="46"/>
    </row>
    <row r="345">
      <c r="A345" s="46"/>
      <c r="B345" s="46"/>
      <c r="C345" s="46"/>
    </row>
    <row r="346">
      <c r="A346" s="46"/>
      <c r="B346" s="46"/>
      <c r="C346" s="46"/>
    </row>
    <row r="347">
      <c r="A347" s="46"/>
      <c r="B347" s="46"/>
      <c r="C347" s="46"/>
    </row>
    <row r="348">
      <c r="A348" s="46"/>
      <c r="B348" s="46"/>
      <c r="C348" s="46"/>
    </row>
    <row r="349">
      <c r="A349" s="46"/>
      <c r="B349" s="46"/>
      <c r="C349" s="46"/>
    </row>
    <row r="350">
      <c r="A350" s="46"/>
      <c r="B350" s="46"/>
      <c r="C350" s="46"/>
    </row>
    <row r="351">
      <c r="A351" s="46"/>
      <c r="B351" s="46"/>
      <c r="C351" s="46"/>
    </row>
    <row r="352">
      <c r="A352" s="46"/>
      <c r="B352" s="46"/>
      <c r="C352" s="46"/>
    </row>
    <row r="353">
      <c r="A353" s="46"/>
      <c r="B353" s="46"/>
      <c r="C353" s="46"/>
    </row>
    <row r="354">
      <c r="A354" s="46"/>
      <c r="B354" s="46"/>
      <c r="C354" s="46"/>
    </row>
    <row r="355">
      <c r="A355" s="46"/>
      <c r="B355" s="46"/>
      <c r="C355" s="46"/>
    </row>
    <row r="356">
      <c r="A356" s="46"/>
      <c r="B356" s="46"/>
      <c r="C356" s="46"/>
    </row>
    <row r="357">
      <c r="A357" s="46"/>
      <c r="B357" s="46"/>
      <c r="C357" s="46"/>
    </row>
    <row r="358">
      <c r="A358" s="46"/>
      <c r="B358" s="46"/>
      <c r="C358" s="46"/>
    </row>
    <row r="359">
      <c r="A359" s="46"/>
      <c r="B359" s="46"/>
      <c r="C359" s="46"/>
    </row>
    <row r="360">
      <c r="A360" s="46"/>
      <c r="B360" s="46"/>
      <c r="C360" s="46"/>
    </row>
    <row r="361">
      <c r="A361" s="46"/>
      <c r="B361" s="46"/>
      <c r="C361" s="46"/>
    </row>
    <row r="362">
      <c r="A362" s="46"/>
      <c r="B362" s="46"/>
      <c r="C362" s="46"/>
    </row>
    <row r="363">
      <c r="A363" s="46"/>
      <c r="B363" s="46"/>
      <c r="C363" s="46"/>
    </row>
    <row r="364">
      <c r="A364" s="46"/>
      <c r="B364" s="46"/>
      <c r="C364" s="46"/>
    </row>
    <row r="365">
      <c r="A365" s="46"/>
      <c r="B365" s="46"/>
      <c r="C365" s="46"/>
    </row>
    <row r="366">
      <c r="A366" s="46"/>
      <c r="B366" s="46"/>
      <c r="C366" s="46"/>
    </row>
    <row r="367">
      <c r="A367" s="46"/>
      <c r="B367" s="46"/>
      <c r="C367" s="46"/>
    </row>
    <row r="368">
      <c r="A368" s="46"/>
      <c r="B368" s="46"/>
      <c r="C368" s="46"/>
    </row>
    <row r="369">
      <c r="A369" s="46"/>
      <c r="B369" s="46"/>
      <c r="C369" s="46"/>
    </row>
    <row r="370">
      <c r="A370" s="46"/>
      <c r="B370" s="46"/>
      <c r="C370" s="46"/>
    </row>
    <row r="371">
      <c r="A371" s="46"/>
      <c r="B371" s="46"/>
      <c r="C371" s="46"/>
    </row>
    <row r="372">
      <c r="A372" s="46"/>
      <c r="B372" s="46"/>
      <c r="C372" s="46"/>
    </row>
    <row r="373">
      <c r="A373" s="46"/>
      <c r="B373" s="46"/>
      <c r="C373" s="46"/>
    </row>
    <row r="374">
      <c r="A374" s="46"/>
      <c r="B374" s="46"/>
      <c r="C374" s="46"/>
    </row>
    <row r="375">
      <c r="A375" s="46"/>
      <c r="B375" s="46"/>
      <c r="C375" s="46"/>
    </row>
    <row r="376">
      <c r="A376" s="46"/>
      <c r="B376" s="46"/>
      <c r="C376" s="46"/>
    </row>
    <row r="377">
      <c r="A377" s="46"/>
      <c r="B377" s="46"/>
      <c r="C377" s="46"/>
    </row>
    <row r="378">
      <c r="A378" s="46"/>
      <c r="B378" s="46"/>
      <c r="C378" s="46"/>
    </row>
    <row r="379">
      <c r="A379" s="46"/>
      <c r="B379" s="46"/>
      <c r="C379" s="46"/>
    </row>
    <row r="380">
      <c r="A380" s="46"/>
      <c r="B380" s="46"/>
      <c r="C380" s="46"/>
    </row>
    <row r="381">
      <c r="A381" s="46"/>
      <c r="B381" s="46"/>
      <c r="C381" s="46"/>
    </row>
    <row r="382">
      <c r="A382" s="46"/>
      <c r="B382" s="46"/>
      <c r="C382" s="46"/>
    </row>
    <row r="383">
      <c r="A383" s="46"/>
      <c r="B383" s="46"/>
      <c r="C383" s="46"/>
    </row>
    <row r="384">
      <c r="A384" s="46"/>
      <c r="B384" s="46"/>
      <c r="C384" s="46"/>
    </row>
    <row r="385">
      <c r="A385" s="46"/>
      <c r="B385" s="46"/>
      <c r="C385" s="46"/>
    </row>
    <row r="386">
      <c r="A386" s="46"/>
      <c r="B386" s="46"/>
      <c r="C386" s="46"/>
    </row>
    <row r="387">
      <c r="A387" s="46"/>
      <c r="B387" s="46"/>
      <c r="C387" s="46"/>
    </row>
    <row r="388">
      <c r="A388" s="46"/>
      <c r="B388" s="46"/>
      <c r="C388" s="46"/>
    </row>
    <row r="389">
      <c r="A389" s="46"/>
      <c r="B389" s="46"/>
      <c r="C389" s="46"/>
    </row>
    <row r="390">
      <c r="A390" s="46"/>
      <c r="B390" s="46"/>
      <c r="C390" s="46"/>
    </row>
    <row r="391">
      <c r="A391" s="46"/>
      <c r="B391" s="46"/>
      <c r="C391" s="46"/>
    </row>
    <row r="392">
      <c r="A392" s="46"/>
      <c r="B392" s="46"/>
      <c r="C392" s="46"/>
    </row>
    <row r="393">
      <c r="A393" s="46"/>
      <c r="B393" s="46"/>
      <c r="C393" s="46"/>
    </row>
    <row r="394">
      <c r="A394" s="46"/>
      <c r="B394" s="46"/>
      <c r="C394" s="46"/>
    </row>
    <row r="395">
      <c r="A395" s="46"/>
      <c r="B395" s="46"/>
      <c r="C395" s="46"/>
    </row>
    <row r="396">
      <c r="A396" s="46"/>
      <c r="B396" s="46"/>
      <c r="C396" s="46"/>
    </row>
    <row r="397">
      <c r="A397" s="46"/>
      <c r="B397" s="46"/>
      <c r="C397" s="46"/>
    </row>
    <row r="398">
      <c r="A398" s="46"/>
      <c r="B398" s="46"/>
      <c r="C398" s="46"/>
    </row>
    <row r="399">
      <c r="A399" s="46"/>
      <c r="B399" s="46"/>
      <c r="C399" s="46"/>
    </row>
    <row r="400">
      <c r="A400" s="46"/>
      <c r="B400" s="46"/>
      <c r="C400" s="46"/>
    </row>
    <row r="401">
      <c r="A401" s="46"/>
      <c r="B401" s="46"/>
      <c r="C401" s="46"/>
    </row>
    <row r="402">
      <c r="A402" s="46"/>
      <c r="B402" s="46"/>
      <c r="C402" s="46"/>
    </row>
    <row r="403">
      <c r="A403" s="46"/>
      <c r="B403" s="46"/>
      <c r="C403" s="46"/>
    </row>
    <row r="404">
      <c r="A404" s="46"/>
      <c r="B404" s="46"/>
      <c r="C404" s="46"/>
    </row>
    <row r="405">
      <c r="A405" s="46"/>
      <c r="B405" s="46"/>
      <c r="C405" s="46"/>
    </row>
    <row r="406">
      <c r="A406" s="46"/>
      <c r="B406" s="46"/>
      <c r="C406" s="46"/>
    </row>
    <row r="407">
      <c r="A407" s="46"/>
      <c r="B407" s="46"/>
      <c r="C407" s="46"/>
    </row>
    <row r="408">
      <c r="A408" s="46"/>
      <c r="B408" s="46"/>
      <c r="C408" s="46"/>
    </row>
    <row r="409">
      <c r="A409" s="46"/>
      <c r="B409" s="46"/>
      <c r="C409" s="46"/>
    </row>
    <row r="410">
      <c r="A410" s="46"/>
      <c r="B410" s="46"/>
      <c r="C410" s="46"/>
    </row>
    <row r="411">
      <c r="A411" s="46"/>
      <c r="B411" s="46"/>
      <c r="C411" s="46"/>
    </row>
    <row r="412">
      <c r="A412" s="46"/>
      <c r="B412" s="46"/>
      <c r="C412" s="46"/>
    </row>
    <row r="413">
      <c r="A413" s="46"/>
      <c r="B413" s="46"/>
      <c r="C413" s="46"/>
    </row>
    <row r="414">
      <c r="A414" s="46"/>
      <c r="B414" s="46"/>
      <c r="C414" s="46"/>
    </row>
    <row r="415">
      <c r="A415" s="46"/>
      <c r="B415" s="46"/>
      <c r="C415" s="46"/>
    </row>
    <row r="416">
      <c r="A416" s="46"/>
      <c r="B416" s="46"/>
      <c r="C416" s="46"/>
    </row>
    <row r="417">
      <c r="A417" s="46"/>
      <c r="B417" s="46"/>
      <c r="C417" s="46"/>
    </row>
    <row r="418">
      <c r="A418" s="46"/>
      <c r="B418" s="46"/>
      <c r="C418" s="46"/>
    </row>
    <row r="419">
      <c r="A419" s="46"/>
      <c r="B419" s="46"/>
      <c r="C419" s="46"/>
    </row>
    <row r="420">
      <c r="A420" s="46"/>
      <c r="B420" s="46"/>
      <c r="C420" s="46"/>
    </row>
    <row r="421">
      <c r="A421" s="46"/>
      <c r="B421" s="46"/>
      <c r="C421" s="46"/>
    </row>
    <row r="422">
      <c r="A422" s="46"/>
      <c r="B422" s="46"/>
      <c r="C422" s="46"/>
    </row>
    <row r="423">
      <c r="A423" s="46"/>
      <c r="B423" s="46"/>
      <c r="C423" s="46"/>
    </row>
    <row r="424">
      <c r="A424" s="46"/>
      <c r="B424" s="46"/>
      <c r="C424" s="46"/>
    </row>
    <row r="425">
      <c r="A425" s="46"/>
      <c r="B425" s="46"/>
      <c r="C425" s="46"/>
    </row>
    <row r="426">
      <c r="A426" s="46"/>
      <c r="B426" s="46"/>
      <c r="C426" s="46"/>
    </row>
    <row r="427">
      <c r="A427" s="46"/>
      <c r="B427" s="46"/>
      <c r="C427" s="46"/>
    </row>
    <row r="428">
      <c r="A428" s="46"/>
      <c r="B428" s="46"/>
      <c r="C428" s="46"/>
    </row>
    <row r="429">
      <c r="A429" s="46"/>
      <c r="B429" s="46"/>
      <c r="C429" s="46"/>
    </row>
    <row r="430">
      <c r="A430" s="46"/>
      <c r="B430" s="46"/>
      <c r="C430" s="46"/>
    </row>
    <row r="431">
      <c r="A431" s="46"/>
      <c r="B431" s="46"/>
      <c r="C431" s="46"/>
    </row>
    <row r="432">
      <c r="A432" s="46"/>
      <c r="B432" s="46"/>
      <c r="C432" s="46"/>
    </row>
    <row r="433">
      <c r="A433" s="46"/>
      <c r="B433" s="46"/>
      <c r="C433" s="46"/>
    </row>
    <row r="434">
      <c r="A434" s="46"/>
      <c r="B434" s="46"/>
      <c r="C434" s="46"/>
    </row>
    <row r="435">
      <c r="A435" s="46"/>
      <c r="B435" s="46"/>
      <c r="C435" s="46"/>
    </row>
    <row r="436">
      <c r="A436" s="46"/>
      <c r="B436" s="46"/>
      <c r="C436" s="46"/>
    </row>
    <row r="437">
      <c r="A437" s="46"/>
      <c r="B437" s="46"/>
      <c r="C437" s="46"/>
    </row>
    <row r="438">
      <c r="A438" s="46"/>
      <c r="B438" s="46"/>
      <c r="C438" s="46"/>
    </row>
    <row r="439">
      <c r="A439" s="46"/>
      <c r="B439" s="46"/>
      <c r="C439" s="46"/>
    </row>
    <row r="440">
      <c r="A440" s="46"/>
      <c r="B440" s="46"/>
      <c r="C440" s="46"/>
    </row>
    <row r="441">
      <c r="A441" s="46"/>
      <c r="B441" s="46"/>
      <c r="C441" s="46"/>
    </row>
    <row r="442">
      <c r="A442" s="46"/>
      <c r="B442" s="46"/>
      <c r="C442" s="46"/>
    </row>
    <row r="443">
      <c r="A443" s="46"/>
      <c r="B443" s="46"/>
      <c r="C443" s="46"/>
    </row>
    <row r="444">
      <c r="A444" s="46"/>
      <c r="B444" s="46"/>
      <c r="C444" s="46"/>
    </row>
    <row r="445">
      <c r="A445" s="46"/>
      <c r="B445" s="46"/>
      <c r="C445" s="46"/>
    </row>
    <row r="446">
      <c r="A446" s="46"/>
      <c r="B446" s="46"/>
      <c r="C446" s="46"/>
    </row>
    <row r="447">
      <c r="A447" s="46"/>
      <c r="B447" s="46"/>
      <c r="C447" s="46"/>
    </row>
    <row r="448">
      <c r="A448" s="46"/>
      <c r="B448" s="46"/>
      <c r="C448" s="46"/>
    </row>
    <row r="449">
      <c r="A449" s="46"/>
      <c r="B449" s="46"/>
      <c r="C449" s="46"/>
    </row>
    <row r="450">
      <c r="A450" s="46"/>
      <c r="B450" s="46"/>
      <c r="C450" s="46"/>
    </row>
    <row r="451">
      <c r="A451" s="46"/>
      <c r="B451" s="46"/>
      <c r="C451" s="46"/>
    </row>
    <row r="452">
      <c r="A452" s="46"/>
      <c r="B452" s="46"/>
      <c r="C452" s="46"/>
    </row>
    <row r="453">
      <c r="A453" s="46"/>
      <c r="B453" s="46"/>
      <c r="C453" s="46"/>
    </row>
    <row r="454">
      <c r="A454" s="46"/>
      <c r="B454" s="46"/>
      <c r="C454" s="46"/>
    </row>
    <row r="455">
      <c r="A455" s="46"/>
      <c r="B455" s="46"/>
      <c r="C455" s="46"/>
    </row>
    <row r="456">
      <c r="A456" s="46"/>
      <c r="B456" s="46"/>
      <c r="C456" s="46"/>
    </row>
    <row r="457">
      <c r="A457" s="46"/>
      <c r="B457" s="46"/>
      <c r="C457" s="46"/>
    </row>
    <row r="458">
      <c r="A458" s="46"/>
      <c r="B458" s="46"/>
      <c r="C458" s="46"/>
    </row>
    <row r="459">
      <c r="A459" s="46"/>
      <c r="B459" s="46"/>
      <c r="C459" s="46"/>
    </row>
    <row r="460">
      <c r="A460" s="46"/>
      <c r="B460" s="46"/>
      <c r="C460" s="46"/>
    </row>
    <row r="461">
      <c r="A461" s="46"/>
      <c r="B461" s="46"/>
      <c r="C461" s="46"/>
    </row>
    <row r="462">
      <c r="A462" s="46"/>
      <c r="B462" s="46"/>
      <c r="C462" s="46"/>
    </row>
    <row r="463">
      <c r="A463" s="46"/>
      <c r="B463" s="46"/>
      <c r="C463" s="46"/>
    </row>
    <row r="464">
      <c r="A464" s="46"/>
      <c r="B464" s="46"/>
      <c r="C464" s="46"/>
    </row>
    <row r="465">
      <c r="A465" s="46"/>
      <c r="B465" s="46"/>
      <c r="C465" s="46"/>
    </row>
    <row r="466">
      <c r="A466" s="46"/>
      <c r="B466" s="46"/>
      <c r="C466" s="46"/>
    </row>
    <row r="467">
      <c r="A467" s="46"/>
      <c r="B467" s="46"/>
      <c r="C467" s="46"/>
    </row>
    <row r="468">
      <c r="A468" s="46"/>
      <c r="B468" s="46"/>
      <c r="C468" s="46"/>
    </row>
    <row r="469">
      <c r="A469" s="46"/>
      <c r="B469" s="46"/>
      <c r="C469" s="46"/>
    </row>
    <row r="470">
      <c r="A470" s="46"/>
      <c r="B470" s="46"/>
      <c r="C470" s="46"/>
    </row>
    <row r="471">
      <c r="A471" s="46"/>
      <c r="B471" s="46"/>
      <c r="C471" s="46"/>
    </row>
    <row r="472">
      <c r="A472" s="46"/>
      <c r="B472" s="46"/>
      <c r="C472" s="46"/>
    </row>
    <row r="473">
      <c r="A473" s="46"/>
      <c r="B473" s="46"/>
      <c r="C473" s="46"/>
    </row>
    <row r="474">
      <c r="A474" s="46"/>
      <c r="B474" s="46"/>
      <c r="C474" s="46"/>
    </row>
    <row r="475">
      <c r="A475" s="46"/>
      <c r="B475" s="46"/>
      <c r="C475" s="46"/>
    </row>
    <row r="476">
      <c r="A476" s="46"/>
      <c r="B476" s="46"/>
      <c r="C476" s="46"/>
    </row>
    <row r="477">
      <c r="A477" s="46"/>
      <c r="B477" s="46"/>
      <c r="C477" s="46"/>
    </row>
    <row r="478">
      <c r="A478" s="46"/>
      <c r="B478" s="46"/>
      <c r="C478" s="46"/>
    </row>
    <row r="479">
      <c r="A479" s="46"/>
      <c r="B479" s="46"/>
      <c r="C479" s="46"/>
    </row>
    <row r="480">
      <c r="A480" s="46"/>
      <c r="B480" s="46"/>
      <c r="C480" s="46"/>
    </row>
    <row r="481">
      <c r="A481" s="46"/>
      <c r="B481" s="46"/>
      <c r="C481" s="46"/>
    </row>
    <row r="482">
      <c r="A482" s="46"/>
      <c r="B482" s="46"/>
      <c r="C482" s="46"/>
    </row>
    <row r="483">
      <c r="A483" s="46"/>
      <c r="B483" s="46"/>
      <c r="C483" s="46"/>
    </row>
    <row r="484">
      <c r="A484" s="46"/>
      <c r="B484" s="46"/>
      <c r="C484" s="46"/>
    </row>
    <row r="485">
      <c r="A485" s="46"/>
      <c r="B485" s="46"/>
      <c r="C485" s="46"/>
    </row>
    <row r="486">
      <c r="A486" s="46"/>
      <c r="B486" s="46"/>
      <c r="C486" s="46"/>
    </row>
    <row r="487">
      <c r="A487" s="46"/>
      <c r="B487" s="46"/>
      <c r="C487" s="46"/>
    </row>
    <row r="488">
      <c r="A488" s="46"/>
      <c r="B488" s="46"/>
      <c r="C488" s="46"/>
    </row>
    <row r="489">
      <c r="A489" s="46"/>
      <c r="B489" s="46"/>
      <c r="C489" s="46"/>
    </row>
    <row r="490">
      <c r="A490" s="46"/>
      <c r="B490" s="46"/>
      <c r="C490" s="46"/>
    </row>
    <row r="491">
      <c r="A491" s="46"/>
      <c r="B491" s="46"/>
      <c r="C491" s="46"/>
    </row>
    <row r="492">
      <c r="A492" s="46"/>
      <c r="B492" s="46"/>
      <c r="C492" s="46"/>
    </row>
    <row r="493">
      <c r="A493" s="46"/>
      <c r="B493" s="46"/>
      <c r="C493" s="46"/>
    </row>
    <row r="494">
      <c r="A494" s="46"/>
      <c r="B494" s="46"/>
      <c r="C494" s="46"/>
    </row>
    <row r="495">
      <c r="A495" s="46"/>
      <c r="B495" s="46"/>
      <c r="C495" s="46"/>
    </row>
    <row r="496">
      <c r="A496" s="46"/>
      <c r="B496" s="46"/>
      <c r="C496" s="46"/>
    </row>
    <row r="497">
      <c r="A497" s="46"/>
      <c r="B497" s="46"/>
      <c r="C497" s="46"/>
    </row>
    <row r="498">
      <c r="A498" s="46"/>
      <c r="B498" s="46"/>
      <c r="C498" s="46"/>
    </row>
    <row r="499">
      <c r="A499" s="46"/>
      <c r="B499" s="46"/>
      <c r="C499" s="46"/>
    </row>
    <row r="500">
      <c r="A500" s="46"/>
      <c r="B500" s="46"/>
      <c r="C500" s="46"/>
    </row>
    <row r="501">
      <c r="A501" s="46"/>
      <c r="B501" s="46"/>
      <c r="C501" s="46"/>
    </row>
    <row r="502">
      <c r="A502" s="46"/>
      <c r="B502" s="46"/>
      <c r="C502" s="46"/>
    </row>
    <row r="503">
      <c r="A503" s="46"/>
      <c r="B503" s="46"/>
      <c r="C503" s="46"/>
    </row>
    <row r="504">
      <c r="A504" s="46"/>
      <c r="B504" s="46"/>
      <c r="C504" s="46"/>
    </row>
    <row r="505">
      <c r="A505" s="46"/>
      <c r="B505" s="46"/>
      <c r="C505" s="46"/>
    </row>
    <row r="506">
      <c r="A506" s="46"/>
      <c r="B506" s="46"/>
      <c r="C506" s="46"/>
    </row>
    <row r="507">
      <c r="A507" s="46"/>
      <c r="B507" s="46"/>
      <c r="C507" s="46"/>
    </row>
    <row r="508">
      <c r="A508" s="46"/>
      <c r="B508" s="46"/>
      <c r="C508" s="46"/>
    </row>
    <row r="509">
      <c r="A509" s="46"/>
      <c r="B509" s="46"/>
      <c r="C509" s="46"/>
    </row>
    <row r="510">
      <c r="A510" s="46"/>
      <c r="B510" s="46"/>
      <c r="C510" s="46"/>
    </row>
    <row r="511">
      <c r="A511" s="46"/>
      <c r="B511" s="46"/>
      <c r="C511" s="46"/>
    </row>
    <row r="512">
      <c r="A512" s="46"/>
      <c r="B512" s="46"/>
      <c r="C512" s="46"/>
    </row>
    <row r="513">
      <c r="A513" s="46"/>
      <c r="B513" s="46"/>
      <c r="C513" s="46"/>
    </row>
    <row r="514">
      <c r="A514" s="46"/>
      <c r="B514" s="46"/>
      <c r="C514" s="46"/>
    </row>
    <row r="515">
      <c r="A515" s="46"/>
      <c r="B515" s="46"/>
      <c r="C515" s="46"/>
    </row>
    <row r="516">
      <c r="A516" s="46"/>
      <c r="B516" s="46"/>
      <c r="C516" s="46"/>
    </row>
    <row r="517">
      <c r="A517" s="46"/>
      <c r="B517" s="46"/>
      <c r="C517" s="46"/>
    </row>
    <row r="518">
      <c r="A518" s="46"/>
      <c r="B518" s="46"/>
      <c r="C518" s="46"/>
    </row>
    <row r="519">
      <c r="A519" s="46"/>
      <c r="B519" s="46"/>
      <c r="C519" s="46"/>
    </row>
    <row r="520">
      <c r="A520" s="46"/>
      <c r="B520" s="46"/>
      <c r="C520" s="46"/>
    </row>
    <row r="521">
      <c r="A521" s="46"/>
      <c r="B521" s="46"/>
      <c r="C521" s="46"/>
    </row>
    <row r="522">
      <c r="A522" s="46"/>
      <c r="B522" s="46"/>
      <c r="C522" s="46"/>
    </row>
    <row r="523">
      <c r="A523" s="46"/>
      <c r="B523" s="46"/>
      <c r="C523" s="46"/>
    </row>
    <row r="524">
      <c r="A524" s="46"/>
      <c r="B524" s="46"/>
      <c r="C524" s="46"/>
    </row>
    <row r="525">
      <c r="A525" s="46"/>
      <c r="B525" s="46"/>
      <c r="C525" s="46"/>
    </row>
    <row r="526">
      <c r="A526" s="46"/>
      <c r="B526" s="46"/>
      <c r="C526" s="46"/>
    </row>
    <row r="527">
      <c r="A527" s="46"/>
      <c r="B527" s="46"/>
      <c r="C527" s="46"/>
    </row>
    <row r="528">
      <c r="A528" s="46"/>
      <c r="B528" s="46"/>
      <c r="C528" s="46"/>
    </row>
    <row r="529">
      <c r="A529" s="46"/>
      <c r="B529" s="46"/>
      <c r="C529" s="46"/>
    </row>
    <row r="530">
      <c r="A530" s="46"/>
      <c r="B530" s="46"/>
      <c r="C530" s="46"/>
    </row>
    <row r="531">
      <c r="A531" s="46"/>
      <c r="B531" s="46"/>
      <c r="C531" s="46"/>
    </row>
    <row r="532">
      <c r="A532" s="46"/>
      <c r="B532" s="46"/>
      <c r="C532" s="46"/>
    </row>
    <row r="533">
      <c r="A533" s="46"/>
      <c r="B533" s="46"/>
      <c r="C533" s="46"/>
    </row>
    <row r="534">
      <c r="A534" s="46"/>
      <c r="B534" s="46"/>
      <c r="C534" s="46"/>
    </row>
    <row r="535">
      <c r="A535" s="46"/>
      <c r="B535" s="46"/>
      <c r="C535" s="46"/>
    </row>
    <row r="536">
      <c r="A536" s="46"/>
      <c r="B536" s="46"/>
      <c r="C536" s="46"/>
    </row>
    <row r="537">
      <c r="A537" s="46"/>
      <c r="B537" s="46"/>
      <c r="C537" s="46"/>
    </row>
    <row r="538">
      <c r="A538" s="46"/>
      <c r="B538" s="46"/>
      <c r="C538" s="46"/>
    </row>
    <row r="539">
      <c r="A539" s="46"/>
      <c r="B539" s="46"/>
      <c r="C539" s="46"/>
    </row>
    <row r="540">
      <c r="A540" s="46"/>
      <c r="B540" s="46"/>
      <c r="C540" s="46"/>
    </row>
    <row r="541">
      <c r="A541" s="46"/>
      <c r="B541" s="46"/>
      <c r="C541" s="46"/>
    </row>
    <row r="542">
      <c r="A542" s="46"/>
      <c r="B542" s="46"/>
      <c r="C542" s="46"/>
    </row>
    <row r="543">
      <c r="A543" s="46"/>
      <c r="B543" s="46"/>
      <c r="C543" s="46"/>
    </row>
    <row r="544">
      <c r="A544" s="46"/>
      <c r="B544" s="46"/>
      <c r="C544" s="46"/>
    </row>
    <row r="545">
      <c r="A545" s="46"/>
      <c r="B545" s="46"/>
      <c r="C545" s="46"/>
    </row>
    <row r="546">
      <c r="A546" s="46"/>
      <c r="B546" s="46"/>
      <c r="C546" s="46"/>
    </row>
    <row r="547">
      <c r="A547" s="46"/>
      <c r="B547" s="46"/>
      <c r="C547" s="46"/>
    </row>
    <row r="548">
      <c r="A548" s="46"/>
      <c r="B548" s="46"/>
      <c r="C548" s="46"/>
    </row>
    <row r="549">
      <c r="A549" s="46"/>
      <c r="B549" s="46"/>
      <c r="C549" s="46"/>
    </row>
    <row r="550">
      <c r="A550" s="46"/>
      <c r="B550" s="46"/>
      <c r="C550" s="46"/>
    </row>
    <row r="551">
      <c r="A551" s="46"/>
      <c r="B551" s="46"/>
      <c r="C551" s="46"/>
    </row>
    <row r="552">
      <c r="A552" s="46"/>
      <c r="B552" s="46"/>
      <c r="C552" s="46"/>
    </row>
    <row r="553">
      <c r="A553" s="46"/>
      <c r="B553" s="46"/>
      <c r="C553" s="46"/>
    </row>
    <row r="554">
      <c r="A554" s="46"/>
      <c r="B554" s="46"/>
      <c r="C554" s="46"/>
    </row>
    <row r="555">
      <c r="A555" s="46"/>
      <c r="B555" s="46"/>
      <c r="C555" s="46"/>
    </row>
    <row r="556">
      <c r="A556" s="46"/>
      <c r="B556" s="46"/>
      <c r="C556" s="46"/>
    </row>
    <row r="557">
      <c r="A557" s="46"/>
      <c r="B557" s="46"/>
      <c r="C557" s="46"/>
    </row>
    <row r="558">
      <c r="A558" s="46"/>
      <c r="B558" s="46"/>
      <c r="C558" s="46"/>
    </row>
    <row r="559">
      <c r="A559" s="46"/>
      <c r="B559" s="46"/>
      <c r="C559" s="46"/>
    </row>
    <row r="560">
      <c r="A560" s="46"/>
      <c r="B560" s="46"/>
      <c r="C560" s="46"/>
    </row>
    <row r="561">
      <c r="A561" s="46"/>
      <c r="B561" s="46"/>
      <c r="C561" s="46"/>
    </row>
    <row r="562">
      <c r="A562" s="46"/>
      <c r="B562" s="46"/>
      <c r="C562" s="46"/>
    </row>
    <row r="563">
      <c r="A563" s="46"/>
      <c r="B563" s="46"/>
      <c r="C563" s="46"/>
    </row>
    <row r="564">
      <c r="A564" s="46"/>
      <c r="B564" s="46"/>
      <c r="C564" s="46"/>
    </row>
    <row r="565">
      <c r="A565" s="46"/>
      <c r="B565" s="46"/>
      <c r="C565" s="46"/>
    </row>
    <row r="566">
      <c r="A566" s="46"/>
      <c r="B566" s="46"/>
      <c r="C566" s="46"/>
    </row>
    <row r="567">
      <c r="A567" s="46"/>
      <c r="B567" s="46"/>
      <c r="C567" s="46"/>
    </row>
    <row r="568">
      <c r="A568" s="46"/>
      <c r="B568" s="46"/>
      <c r="C568" s="46"/>
    </row>
    <row r="569">
      <c r="A569" s="46"/>
      <c r="B569" s="46"/>
      <c r="C569" s="46"/>
    </row>
    <row r="570">
      <c r="A570" s="46"/>
      <c r="B570" s="46"/>
      <c r="C570" s="46"/>
    </row>
    <row r="571">
      <c r="A571" s="46"/>
      <c r="B571" s="46"/>
      <c r="C571" s="46"/>
    </row>
    <row r="572">
      <c r="A572" s="46"/>
      <c r="B572" s="46"/>
      <c r="C572" s="46"/>
    </row>
    <row r="573">
      <c r="A573" s="46"/>
      <c r="B573" s="46"/>
      <c r="C573" s="46"/>
    </row>
    <row r="574">
      <c r="A574" s="46"/>
      <c r="B574" s="46"/>
      <c r="C574" s="46"/>
    </row>
    <row r="575">
      <c r="A575" s="46"/>
      <c r="B575" s="46"/>
      <c r="C575" s="46"/>
    </row>
    <row r="576">
      <c r="A576" s="46"/>
      <c r="B576" s="46"/>
      <c r="C576" s="46"/>
    </row>
    <row r="577">
      <c r="A577" s="46"/>
      <c r="B577" s="46"/>
      <c r="C577" s="46"/>
    </row>
    <row r="578">
      <c r="A578" s="46"/>
      <c r="B578" s="46"/>
      <c r="C578" s="46"/>
    </row>
    <row r="579">
      <c r="A579" s="46"/>
      <c r="B579" s="46"/>
      <c r="C579" s="46"/>
    </row>
    <row r="580">
      <c r="A580" s="46"/>
      <c r="B580" s="46"/>
      <c r="C580" s="46"/>
    </row>
    <row r="581">
      <c r="A581" s="46"/>
      <c r="B581" s="46"/>
      <c r="C581" s="46"/>
    </row>
    <row r="582">
      <c r="A582" s="46"/>
      <c r="B582" s="46"/>
      <c r="C582" s="46"/>
    </row>
    <row r="583">
      <c r="A583" s="46"/>
      <c r="B583" s="46"/>
      <c r="C583" s="46"/>
    </row>
    <row r="584">
      <c r="A584" s="46"/>
      <c r="B584" s="46"/>
      <c r="C584" s="46"/>
    </row>
    <row r="585">
      <c r="A585" s="46"/>
      <c r="B585" s="46"/>
      <c r="C585" s="46"/>
    </row>
    <row r="586">
      <c r="A586" s="46"/>
      <c r="B586" s="46"/>
      <c r="C586" s="46"/>
    </row>
    <row r="587">
      <c r="A587" s="46"/>
      <c r="B587" s="46"/>
      <c r="C587" s="46"/>
    </row>
    <row r="588">
      <c r="A588" s="46"/>
      <c r="B588" s="46"/>
      <c r="C588" s="46"/>
    </row>
    <row r="589">
      <c r="A589" s="46"/>
      <c r="B589" s="46"/>
      <c r="C589" s="46"/>
    </row>
    <row r="590">
      <c r="A590" s="46"/>
      <c r="B590" s="46"/>
      <c r="C590" s="46"/>
    </row>
    <row r="591">
      <c r="A591" s="46"/>
      <c r="B591" s="46"/>
      <c r="C591" s="46"/>
    </row>
    <row r="592">
      <c r="A592" s="46"/>
      <c r="B592" s="46"/>
      <c r="C592" s="46"/>
    </row>
    <row r="593">
      <c r="A593" s="46"/>
      <c r="B593" s="46"/>
      <c r="C593" s="46"/>
    </row>
    <row r="594">
      <c r="A594" s="46"/>
      <c r="B594" s="46"/>
      <c r="C594" s="46"/>
    </row>
    <row r="595">
      <c r="A595" s="46"/>
      <c r="B595" s="46"/>
      <c r="C595" s="46"/>
    </row>
    <row r="596">
      <c r="A596" s="46"/>
      <c r="B596" s="46"/>
      <c r="C596" s="46"/>
    </row>
    <row r="597">
      <c r="A597" s="46"/>
      <c r="B597" s="46"/>
      <c r="C597" s="46"/>
    </row>
    <row r="598">
      <c r="A598" s="46"/>
      <c r="B598" s="46"/>
      <c r="C598" s="46"/>
    </row>
    <row r="599">
      <c r="A599" s="46"/>
      <c r="B599" s="46"/>
      <c r="C599" s="46"/>
    </row>
    <row r="600">
      <c r="A600" s="46"/>
      <c r="B600" s="46"/>
      <c r="C600" s="46"/>
    </row>
    <row r="601">
      <c r="A601" s="46"/>
      <c r="B601" s="46"/>
      <c r="C601" s="46"/>
    </row>
    <row r="602">
      <c r="A602" s="46"/>
      <c r="B602" s="46"/>
      <c r="C602" s="46"/>
    </row>
    <row r="603">
      <c r="A603" s="46"/>
      <c r="B603" s="46"/>
      <c r="C603" s="46"/>
    </row>
    <row r="604">
      <c r="A604" s="46"/>
      <c r="B604" s="46"/>
      <c r="C604" s="46"/>
    </row>
    <row r="605">
      <c r="A605" s="46"/>
      <c r="B605" s="46"/>
      <c r="C605" s="46"/>
    </row>
    <row r="606">
      <c r="A606" s="46"/>
      <c r="B606" s="46"/>
      <c r="C606" s="46"/>
    </row>
    <row r="607">
      <c r="A607" s="46"/>
      <c r="B607" s="46"/>
      <c r="C607" s="46"/>
    </row>
    <row r="608">
      <c r="A608" s="46"/>
      <c r="B608" s="46"/>
      <c r="C608" s="46"/>
    </row>
    <row r="609">
      <c r="A609" s="46"/>
      <c r="B609" s="46"/>
      <c r="C609" s="46"/>
    </row>
    <row r="610">
      <c r="A610" s="46"/>
      <c r="B610" s="46"/>
      <c r="C610" s="46"/>
    </row>
    <row r="611">
      <c r="A611" s="46"/>
      <c r="B611" s="46"/>
      <c r="C611" s="46"/>
    </row>
    <row r="612">
      <c r="A612" s="46"/>
      <c r="B612" s="46"/>
      <c r="C612" s="46"/>
    </row>
    <row r="613">
      <c r="A613" s="46"/>
      <c r="B613" s="46"/>
      <c r="C613" s="46"/>
    </row>
    <row r="614">
      <c r="A614" s="46"/>
      <c r="B614" s="46"/>
      <c r="C614" s="46"/>
    </row>
    <row r="615">
      <c r="A615" s="46"/>
      <c r="B615" s="46"/>
      <c r="C615" s="46"/>
    </row>
    <row r="616">
      <c r="A616" s="46"/>
      <c r="B616" s="46"/>
      <c r="C616" s="46"/>
    </row>
    <row r="617">
      <c r="A617" s="46"/>
      <c r="B617" s="46"/>
      <c r="C617" s="46"/>
    </row>
    <row r="618">
      <c r="A618" s="46"/>
      <c r="B618" s="46"/>
      <c r="C618" s="46"/>
    </row>
    <row r="619">
      <c r="A619" s="46"/>
      <c r="B619" s="46"/>
      <c r="C619" s="46"/>
    </row>
    <row r="620">
      <c r="A620" s="46"/>
      <c r="B620" s="46"/>
      <c r="C620" s="46"/>
    </row>
    <row r="621">
      <c r="A621" s="46"/>
      <c r="B621" s="46"/>
      <c r="C621" s="46"/>
    </row>
    <row r="622">
      <c r="A622" s="46"/>
      <c r="B622" s="46"/>
      <c r="C622" s="46"/>
    </row>
    <row r="623">
      <c r="A623" s="46"/>
      <c r="B623" s="46"/>
      <c r="C623" s="46"/>
    </row>
    <row r="624">
      <c r="A624" s="46"/>
      <c r="B624" s="46"/>
      <c r="C624" s="46"/>
    </row>
    <row r="625">
      <c r="A625" s="46"/>
      <c r="B625" s="46"/>
      <c r="C625" s="46"/>
    </row>
    <row r="626">
      <c r="A626" s="46"/>
      <c r="B626" s="46"/>
      <c r="C626" s="46"/>
    </row>
    <row r="627">
      <c r="A627" s="46"/>
      <c r="B627" s="46"/>
      <c r="C627" s="46"/>
    </row>
    <row r="628">
      <c r="A628" s="46"/>
      <c r="B628" s="46"/>
      <c r="C628" s="46"/>
    </row>
    <row r="629">
      <c r="A629" s="46"/>
      <c r="B629" s="46"/>
      <c r="C629" s="46"/>
    </row>
    <row r="630">
      <c r="A630" s="46"/>
      <c r="B630" s="46"/>
      <c r="C630" s="46"/>
    </row>
    <row r="631">
      <c r="A631" s="46"/>
      <c r="B631" s="46"/>
      <c r="C631" s="46"/>
    </row>
    <row r="632">
      <c r="A632" s="46"/>
      <c r="B632" s="46"/>
      <c r="C632" s="46"/>
    </row>
    <row r="633">
      <c r="A633" s="46"/>
      <c r="B633" s="46"/>
      <c r="C633" s="46"/>
    </row>
    <row r="634">
      <c r="A634" s="46"/>
      <c r="B634" s="46"/>
      <c r="C634" s="46"/>
    </row>
    <row r="635">
      <c r="A635" s="46"/>
      <c r="B635" s="46"/>
      <c r="C635" s="46"/>
    </row>
    <row r="636">
      <c r="A636" s="46"/>
      <c r="B636" s="46"/>
      <c r="C636" s="46"/>
    </row>
    <row r="637">
      <c r="A637" s="46"/>
      <c r="B637" s="46"/>
      <c r="C637" s="46"/>
    </row>
    <row r="638">
      <c r="A638" s="46"/>
      <c r="B638" s="46"/>
      <c r="C638" s="46"/>
    </row>
    <row r="639">
      <c r="A639" s="46"/>
      <c r="B639" s="46"/>
      <c r="C639" s="46"/>
    </row>
    <row r="640">
      <c r="A640" s="46"/>
      <c r="B640" s="46"/>
      <c r="C640" s="46"/>
    </row>
    <row r="641">
      <c r="A641" s="46"/>
      <c r="B641" s="46"/>
      <c r="C641" s="46"/>
    </row>
    <row r="642">
      <c r="A642" s="46"/>
      <c r="B642" s="46"/>
      <c r="C642" s="46"/>
    </row>
    <row r="643">
      <c r="A643" s="46"/>
      <c r="B643" s="46"/>
      <c r="C643" s="46"/>
    </row>
    <row r="644">
      <c r="A644" s="46"/>
      <c r="B644" s="46"/>
      <c r="C644" s="46"/>
    </row>
    <row r="645">
      <c r="A645" s="46"/>
      <c r="B645" s="46"/>
      <c r="C645" s="46"/>
    </row>
    <row r="646">
      <c r="A646" s="46"/>
      <c r="B646" s="46"/>
      <c r="C646" s="46"/>
    </row>
    <row r="647">
      <c r="A647" s="46"/>
      <c r="B647" s="46"/>
      <c r="C647" s="46"/>
    </row>
    <row r="648">
      <c r="A648" s="46"/>
      <c r="B648" s="46"/>
      <c r="C648" s="46"/>
    </row>
    <row r="649">
      <c r="A649" s="46"/>
      <c r="B649" s="46"/>
      <c r="C649" s="46"/>
    </row>
    <row r="650">
      <c r="A650" s="46"/>
      <c r="B650" s="46"/>
      <c r="C650" s="46"/>
    </row>
    <row r="651">
      <c r="A651" s="46"/>
      <c r="B651" s="46"/>
      <c r="C651" s="46"/>
    </row>
    <row r="652">
      <c r="A652" s="46"/>
      <c r="B652" s="46"/>
      <c r="C652" s="46"/>
    </row>
    <row r="653">
      <c r="A653" s="46"/>
      <c r="B653" s="46"/>
      <c r="C653" s="46"/>
    </row>
    <row r="654">
      <c r="A654" s="46"/>
      <c r="B654" s="46"/>
      <c r="C654" s="46"/>
    </row>
    <row r="655">
      <c r="A655" s="46"/>
      <c r="B655" s="46"/>
      <c r="C655" s="46"/>
    </row>
    <row r="656">
      <c r="A656" s="46"/>
      <c r="B656" s="46"/>
      <c r="C656" s="46"/>
    </row>
    <row r="657">
      <c r="A657" s="46"/>
      <c r="B657" s="46"/>
      <c r="C657" s="46"/>
    </row>
    <row r="658">
      <c r="A658" s="46"/>
      <c r="B658" s="46"/>
      <c r="C658" s="46"/>
    </row>
    <row r="659">
      <c r="A659" s="46"/>
      <c r="B659" s="46"/>
      <c r="C659" s="46"/>
    </row>
    <row r="660">
      <c r="A660" s="46"/>
      <c r="B660" s="46"/>
      <c r="C660" s="46"/>
    </row>
    <row r="661">
      <c r="A661" s="46"/>
      <c r="B661" s="46"/>
      <c r="C661" s="46"/>
    </row>
    <row r="662">
      <c r="A662" s="46"/>
      <c r="B662" s="46"/>
      <c r="C662" s="46"/>
    </row>
    <row r="663">
      <c r="A663" s="46"/>
      <c r="B663" s="46"/>
      <c r="C663" s="46"/>
    </row>
    <row r="664">
      <c r="A664" s="46"/>
      <c r="B664" s="46"/>
      <c r="C664" s="46"/>
    </row>
    <row r="665">
      <c r="A665" s="46"/>
      <c r="B665" s="46"/>
      <c r="C665" s="46"/>
    </row>
    <row r="666">
      <c r="A666" s="46"/>
      <c r="B666" s="46"/>
      <c r="C666" s="46"/>
    </row>
    <row r="667">
      <c r="A667" s="46"/>
      <c r="B667" s="46"/>
      <c r="C667" s="46"/>
    </row>
    <row r="668">
      <c r="A668" s="46"/>
      <c r="B668" s="46"/>
      <c r="C668" s="46"/>
    </row>
    <row r="669">
      <c r="A669" s="46"/>
      <c r="B669" s="46"/>
      <c r="C669" s="46"/>
    </row>
    <row r="670">
      <c r="A670" s="46"/>
      <c r="B670" s="46"/>
      <c r="C670" s="46"/>
    </row>
    <row r="671">
      <c r="A671" s="46"/>
      <c r="B671" s="46"/>
      <c r="C671" s="46"/>
    </row>
    <row r="672">
      <c r="A672" s="46"/>
      <c r="B672" s="46"/>
      <c r="C672" s="46"/>
    </row>
    <row r="673">
      <c r="A673" s="46"/>
      <c r="B673" s="46"/>
      <c r="C673" s="46"/>
    </row>
    <row r="674">
      <c r="A674" s="46"/>
      <c r="B674" s="46"/>
      <c r="C674" s="46"/>
    </row>
    <row r="675">
      <c r="A675" s="46"/>
      <c r="B675" s="46"/>
      <c r="C675" s="46"/>
    </row>
    <row r="676">
      <c r="A676" s="46"/>
      <c r="B676" s="46"/>
      <c r="C676" s="46"/>
    </row>
    <row r="677">
      <c r="A677" s="46"/>
      <c r="B677" s="46"/>
      <c r="C677" s="46"/>
    </row>
    <row r="678">
      <c r="A678" s="46"/>
      <c r="B678" s="46"/>
      <c r="C678" s="46"/>
    </row>
    <row r="679">
      <c r="A679" s="46"/>
      <c r="B679" s="46"/>
      <c r="C679" s="46"/>
    </row>
    <row r="680">
      <c r="A680" s="46"/>
      <c r="B680" s="46"/>
      <c r="C680" s="46"/>
    </row>
    <row r="681">
      <c r="A681" s="46"/>
      <c r="B681" s="46"/>
      <c r="C681" s="46"/>
    </row>
    <row r="682">
      <c r="A682" s="46"/>
      <c r="B682" s="46"/>
      <c r="C682" s="46"/>
    </row>
    <row r="683">
      <c r="A683" s="46"/>
      <c r="B683" s="46"/>
      <c r="C683" s="46"/>
    </row>
    <row r="684">
      <c r="A684" s="46"/>
      <c r="B684" s="46"/>
      <c r="C684" s="46"/>
    </row>
    <row r="685">
      <c r="A685" s="46"/>
      <c r="B685" s="46"/>
      <c r="C685" s="46"/>
    </row>
    <row r="686">
      <c r="A686" s="46"/>
      <c r="B686" s="46"/>
      <c r="C686" s="46"/>
    </row>
    <row r="687">
      <c r="A687" s="46"/>
      <c r="B687" s="46"/>
      <c r="C687" s="46"/>
    </row>
    <row r="688">
      <c r="A688" s="46"/>
      <c r="B688" s="46"/>
      <c r="C688" s="46"/>
    </row>
    <row r="689">
      <c r="A689" s="46"/>
      <c r="B689" s="46"/>
      <c r="C689" s="46"/>
    </row>
    <row r="690">
      <c r="A690" s="46"/>
      <c r="B690" s="46"/>
      <c r="C690" s="46"/>
    </row>
    <row r="691">
      <c r="A691" s="46"/>
      <c r="B691" s="46"/>
      <c r="C691" s="46"/>
    </row>
    <row r="692">
      <c r="A692" s="46"/>
      <c r="B692" s="46"/>
      <c r="C692" s="46"/>
    </row>
    <row r="693">
      <c r="A693" s="46"/>
      <c r="B693" s="46"/>
      <c r="C693" s="46"/>
    </row>
    <row r="694">
      <c r="A694" s="46"/>
      <c r="B694" s="46"/>
      <c r="C694" s="46"/>
    </row>
    <row r="695">
      <c r="A695" s="46"/>
      <c r="B695" s="46"/>
      <c r="C695" s="46"/>
    </row>
    <row r="696">
      <c r="A696" s="46"/>
      <c r="B696" s="46"/>
      <c r="C696" s="46"/>
    </row>
    <row r="697">
      <c r="A697" s="46"/>
      <c r="B697" s="46"/>
      <c r="C697" s="46"/>
    </row>
    <row r="698">
      <c r="A698" s="46"/>
      <c r="B698" s="46"/>
      <c r="C698" s="46"/>
    </row>
    <row r="699">
      <c r="A699" s="46"/>
      <c r="B699" s="46"/>
      <c r="C699" s="46"/>
    </row>
    <row r="700">
      <c r="A700" s="46"/>
      <c r="B700" s="46"/>
      <c r="C700" s="46"/>
    </row>
    <row r="701">
      <c r="A701" s="46"/>
      <c r="B701" s="46"/>
      <c r="C701" s="46"/>
    </row>
    <row r="702">
      <c r="A702" s="46"/>
      <c r="B702" s="46"/>
      <c r="C702" s="46"/>
    </row>
    <row r="703">
      <c r="A703" s="46"/>
      <c r="B703" s="46"/>
      <c r="C703" s="46"/>
    </row>
    <row r="704">
      <c r="A704" s="46"/>
      <c r="B704" s="46"/>
      <c r="C704" s="46"/>
    </row>
    <row r="705">
      <c r="A705" s="46"/>
      <c r="B705" s="46"/>
      <c r="C705" s="46"/>
    </row>
    <row r="706">
      <c r="A706" s="46"/>
      <c r="B706" s="46"/>
      <c r="C706" s="46"/>
    </row>
    <row r="707">
      <c r="A707" s="46"/>
      <c r="B707" s="46"/>
      <c r="C707" s="46"/>
    </row>
    <row r="708">
      <c r="A708" s="46"/>
      <c r="B708" s="46"/>
      <c r="C708" s="46"/>
    </row>
    <row r="709">
      <c r="A709" s="46"/>
      <c r="B709" s="46"/>
      <c r="C709" s="46"/>
    </row>
    <row r="710">
      <c r="A710" s="46"/>
      <c r="B710" s="46"/>
      <c r="C710" s="46"/>
    </row>
    <row r="711">
      <c r="A711" s="46"/>
      <c r="B711" s="46"/>
      <c r="C711" s="46"/>
    </row>
    <row r="712">
      <c r="A712" s="46"/>
      <c r="B712" s="46"/>
      <c r="C712" s="46"/>
    </row>
    <row r="713">
      <c r="A713" s="46"/>
      <c r="B713" s="46"/>
      <c r="C713" s="46"/>
    </row>
    <row r="714">
      <c r="A714" s="46"/>
      <c r="B714" s="46"/>
      <c r="C714" s="46"/>
    </row>
    <row r="715">
      <c r="A715" s="46"/>
      <c r="B715" s="46"/>
      <c r="C715" s="46"/>
    </row>
    <row r="716">
      <c r="A716" s="46"/>
      <c r="B716" s="46"/>
      <c r="C716" s="46"/>
    </row>
    <row r="717">
      <c r="A717" s="46"/>
      <c r="B717" s="46"/>
      <c r="C717" s="46"/>
    </row>
    <row r="718">
      <c r="A718" s="46"/>
      <c r="B718" s="46"/>
      <c r="C718" s="46"/>
    </row>
    <row r="719">
      <c r="A719" s="46"/>
      <c r="B719" s="46"/>
      <c r="C719" s="46"/>
    </row>
    <row r="720">
      <c r="A720" s="46"/>
      <c r="B720" s="46"/>
      <c r="C720" s="46"/>
    </row>
    <row r="721">
      <c r="A721" s="46"/>
      <c r="B721" s="46"/>
      <c r="C721" s="46"/>
    </row>
    <row r="722">
      <c r="A722" s="46"/>
      <c r="B722" s="46"/>
      <c r="C722" s="46"/>
    </row>
    <row r="723">
      <c r="A723" s="46"/>
      <c r="B723" s="46"/>
      <c r="C723" s="46"/>
    </row>
    <row r="724">
      <c r="A724" s="46"/>
      <c r="B724" s="46"/>
      <c r="C724" s="46"/>
    </row>
    <row r="725">
      <c r="A725" s="46"/>
      <c r="B725" s="46"/>
      <c r="C725" s="46"/>
    </row>
    <row r="726">
      <c r="A726" s="46"/>
      <c r="B726" s="46"/>
      <c r="C726" s="46"/>
    </row>
    <row r="727">
      <c r="A727" s="46"/>
      <c r="B727" s="46"/>
      <c r="C727" s="46"/>
    </row>
    <row r="728">
      <c r="A728" s="46"/>
      <c r="B728" s="46"/>
      <c r="C728" s="46"/>
    </row>
    <row r="729">
      <c r="A729" s="46"/>
      <c r="B729" s="46"/>
      <c r="C729" s="46"/>
    </row>
    <row r="730">
      <c r="A730" s="46"/>
      <c r="B730" s="46"/>
      <c r="C730" s="46"/>
    </row>
    <row r="731">
      <c r="A731" s="46"/>
      <c r="B731" s="46"/>
      <c r="C731" s="46"/>
    </row>
    <row r="732">
      <c r="A732" s="46"/>
      <c r="B732" s="46"/>
      <c r="C732" s="46"/>
    </row>
    <row r="733">
      <c r="A733" s="46"/>
      <c r="B733" s="46"/>
      <c r="C733" s="46"/>
    </row>
    <row r="734">
      <c r="A734" s="46"/>
      <c r="B734" s="46"/>
      <c r="C734" s="46"/>
    </row>
    <row r="735">
      <c r="A735" s="46"/>
      <c r="B735" s="46"/>
      <c r="C735" s="46"/>
    </row>
    <row r="736">
      <c r="A736" s="46"/>
      <c r="B736" s="46"/>
      <c r="C736" s="46"/>
    </row>
    <row r="737">
      <c r="A737" s="46"/>
      <c r="B737" s="46"/>
      <c r="C737" s="46"/>
    </row>
    <row r="738">
      <c r="A738" s="46"/>
      <c r="B738" s="46"/>
      <c r="C738" s="46"/>
    </row>
    <row r="739">
      <c r="A739" s="46"/>
      <c r="B739" s="46"/>
      <c r="C739" s="46"/>
    </row>
    <row r="740">
      <c r="A740" s="46"/>
      <c r="B740" s="46"/>
      <c r="C740" s="46"/>
    </row>
    <row r="741">
      <c r="A741" s="46"/>
      <c r="B741" s="46"/>
      <c r="C741" s="46"/>
    </row>
    <row r="742">
      <c r="A742" s="46"/>
      <c r="B742" s="46"/>
      <c r="C742" s="46"/>
    </row>
    <row r="743">
      <c r="A743" s="46"/>
      <c r="B743" s="46"/>
      <c r="C743" s="46"/>
    </row>
    <row r="744">
      <c r="A744" s="46"/>
      <c r="B744" s="46"/>
      <c r="C744" s="46"/>
    </row>
    <row r="745">
      <c r="A745" s="46"/>
      <c r="B745" s="46"/>
      <c r="C745" s="46"/>
    </row>
    <row r="746">
      <c r="A746" s="46"/>
      <c r="B746" s="46"/>
      <c r="C746" s="46"/>
    </row>
    <row r="747">
      <c r="A747" s="46"/>
      <c r="B747" s="46"/>
      <c r="C747" s="46"/>
    </row>
    <row r="748">
      <c r="A748" s="46"/>
      <c r="B748" s="46"/>
      <c r="C748" s="46"/>
    </row>
    <row r="749">
      <c r="A749" s="46"/>
      <c r="B749" s="46"/>
      <c r="C749" s="46"/>
    </row>
    <row r="750">
      <c r="A750" s="46"/>
      <c r="B750" s="46"/>
      <c r="C750" s="46"/>
    </row>
    <row r="751">
      <c r="A751" s="46"/>
      <c r="B751" s="46"/>
      <c r="C751" s="46"/>
    </row>
    <row r="752">
      <c r="A752" s="46"/>
      <c r="B752" s="46"/>
      <c r="C752" s="46"/>
    </row>
    <row r="753">
      <c r="A753" s="46"/>
      <c r="B753" s="46"/>
      <c r="C753" s="46"/>
    </row>
    <row r="754">
      <c r="A754" s="46"/>
      <c r="B754" s="46"/>
      <c r="C754" s="46"/>
    </row>
    <row r="755">
      <c r="A755" s="46"/>
      <c r="B755" s="46"/>
      <c r="C755" s="46"/>
    </row>
    <row r="756">
      <c r="A756" s="46"/>
      <c r="B756" s="46"/>
      <c r="C756" s="46"/>
    </row>
    <row r="757">
      <c r="A757" s="46"/>
      <c r="B757" s="46"/>
      <c r="C757" s="46"/>
    </row>
    <row r="758">
      <c r="A758" s="46"/>
      <c r="B758" s="46"/>
      <c r="C758" s="46"/>
    </row>
    <row r="759">
      <c r="A759" s="46"/>
      <c r="B759" s="46"/>
      <c r="C759" s="46"/>
    </row>
    <row r="760">
      <c r="A760" s="46"/>
      <c r="B760" s="46"/>
      <c r="C760" s="46"/>
    </row>
    <row r="761">
      <c r="A761" s="46"/>
      <c r="B761" s="46"/>
      <c r="C761" s="46"/>
    </row>
    <row r="762">
      <c r="A762" s="46"/>
      <c r="B762" s="46"/>
      <c r="C762" s="46"/>
    </row>
    <row r="763">
      <c r="A763" s="46"/>
      <c r="B763" s="46"/>
      <c r="C763" s="46"/>
    </row>
    <row r="764">
      <c r="A764" s="46"/>
      <c r="B764" s="46"/>
      <c r="C764" s="46"/>
    </row>
    <row r="765">
      <c r="A765" s="46"/>
      <c r="B765" s="46"/>
      <c r="C765" s="46"/>
    </row>
    <row r="766">
      <c r="A766" s="46"/>
      <c r="B766" s="46"/>
      <c r="C766" s="46"/>
    </row>
    <row r="767">
      <c r="A767" s="46"/>
      <c r="B767" s="46"/>
      <c r="C767" s="46"/>
    </row>
    <row r="768">
      <c r="A768" s="46"/>
      <c r="B768" s="46"/>
      <c r="C768" s="46"/>
    </row>
    <row r="769">
      <c r="A769" s="46"/>
      <c r="B769" s="46"/>
      <c r="C769" s="46"/>
    </row>
    <row r="770">
      <c r="A770" s="46"/>
      <c r="B770" s="46"/>
      <c r="C770" s="46"/>
    </row>
    <row r="771">
      <c r="A771" s="46"/>
      <c r="B771" s="46"/>
      <c r="C771" s="46"/>
    </row>
    <row r="772">
      <c r="A772" s="46"/>
      <c r="B772" s="46"/>
      <c r="C772" s="46"/>
    </row>
    <row r="773">
      <c r="A773" s="46"/>
      <c r="B773" s="46"/>
      <c r="C773" s="46"/>
    </row>
    <row r="774">
      <c r="A774" s="46"/>
      <c r="B774" s="46"/>
      <c r="C774" s="46"/>
    </row>
    <row r="775">
      <c r="A775" s="46"/>
      <c r="B775" s="46"/>
      <c r="C775" s="46"/>
    </row>
    <row r="776">
      <c r="A776" s="46"/>
      <c r="B776" s="46"/>
      <c r="C776" s="46"/>
    </row>
    <row r="777">
      <c r="A777" s="46"/>
      <c r="B777" s="46"/>
      <c r="C777" s="46"/>
    </row>
    <row r="778">
      <c r="A778" s="46"/>
      <c r="B778" s="46"/>
      <c r="C778" s="46"/>
    </row>
    <row r="779">
      <c r="A779" s="46"/>
      <c r="B779" s="46"/>
      <c r="C779" s="46"/>
    </row>
    <row r="780">
      <c r="A780" s="46"/>
      <c r="B780" s="46"/>
      <c r="C780" s="46"/>
    </row>
    <row r="781">
      <c r="A781" s="46"/>
      <c r="B781" s="46"/>
      <c r="C781" s="46"/>
    </row>
    <row r="782">
      <c r="A782" s="46"/>
      <c r="B782" s="46"/>
      <c r="C782" s="46"/>
    </row>
    <row r="783">
      <c r="A783" s="46"/>
      <c r="B783" s="46"/>
      <c r="C783" s="46"/>
    </row>
    <row r="784">
      <c r="A784" s="46"/>
      <c r="B784" s="46"/>
      <c r="C784" s="46"/>
    </row>
    <row r="785">
      <c r="A785" s="46"/>
      <c r="B785" s="46"/>
      <c r="C785" s="46"/>
    </row>
    <row r="786">
      <c r="A786" s="46"/>
      <c r="B786" s="46"/>
      <c r="C786" s="46"/>
    </row>
    <row r="787">
      <c r="A787" s="46"/>
      <c r="B787" s="46"/>
      <c r="C787" s="46"/>
    </row>
    <row r="788">
      <c r="A788" s="46"/>
      <c r="B788" s="46"/>
      <c r="C788" s="46"/>
    </row>
    <row r="789">
      <c r="A789" s="46"/>
      <c r="B789" s="46"/>
      <c r="C789" s="46"/>
    </row>
    <row r="790">
      <c r="A790" s="46"/>
      <c r="B790" s="46"/>
      <c r="C790" s="46"/>
    </row>
    <row r="791">
      <c r="A791" s="46"/>
      <c r="B791" s="46"/>
      <c r="C791" s="46"/>
    </row>
    <row r="792">
      <c r="A792" s="46"/>
      <c r="B792" s="46"/>
      <c r="C792" s="46"/>
    </row>
    <row r="793">
      <c r="A793" s="46"/>
      <c r="B793" s="46"/>
      <c r="C793" s="46"/>
    </row>
    <row r="794">
      <c r="A794" s="46"/>
      <c r="B794" s="46"/>
      <c r="C794" s="46"/>
    </row>
    <row r="795">
      <c r="A795" s="46"/>
      <c r="B795" s="46"/>
      <c r="C795" s="46"/>
    </row>
    <row r="796">
      <c r="A796" s="46"/>
      <c r="B796" s="46"/>
      <c r="C796" s="46"/>
    </row>
    <row r="797">
      <c r="A797" s="46"/>
      <c r="B797" s="46"/>
      <c r="C797" s="46"/>
    </row>
    <row r="798">
      <c r="A798" s="46"/>
      <c r="B798" s="46"/>
      <c r="C798" s="46"/>
    </row>
    <row r="799">
      <c r="A799" s="46"/>
      <c r="B799" s="46"/>
      <c r="C799" s="46"/>
    </row>
    <row r="800">
      <c r="A800" s="46"/>
      <c r="B800" s="46"/>
      <c r="C800" s="46"/>
    </row>
    <row r="801">
      <c r="A801" s="46"/>
      <c r="B801" s="46"/>
      <c r="C801" s="46"/>
    </row>
    <row r="802">
      <c r="A802" s="46"/>
      <c r="B802" s="46"/>
      <c r="C802" s="46"/>
    </row>
    <row r="803">
      <c r="A803" s="46"/>
      <c r="B803" s="46"/>
      <c r="C803" s="46"/>
    </row>
    <row r="804">
      <c r="A804" s="46"/>
      <c r="B804" s="46"/>
      <c r="C804" s="46"/>
    </row>
    <row r="805">
      <c r="A805" s="46"/>
      <c r="B805" s="46"/>
      <c r="C805" s="46"/>
    </row>
    <row r="806">
      <c r="A806" s="46"/>
      <c r="B806" s="46"/>
      <c r="C806" s="46"/>
    </row>
    <row r="807">
      <c r="A807" s="46"/>
      <c r="B807" s="46"/>
      <c r="C807" s="46"/>
    </row>
    <row r="808">
      <c r="A808" s="46"/>
      <c r="B808" s="46"/>
      <c r="C808" s="46"/>
    </row>
    <row r="809">
      <c r="A809" s="46"/>
      <c r="B809" s="46"/>
      <c r="C809" s="46"/>
    </row>
    <row r="810">
      <c r="A810" s="46"/>
      <c r="B810" s="46"/>
      <c r="C810" s="46"/>
    </row>
    <row r="811">
      <c r="A811" s="46"/>
      <c r="B811" s="46"/>
      <c r="C811" s="46"/>
    </row>
    <row r="812">
      <c r="A812" s="46"/>
      <c r="B812" s="46"/>
      <c r="C812" s="46"/>
    </row>
    <row r="813">
      <c r="A813" s="46"/>
      <c r="B813" s="46"/>
      <c r="C813" s="46"/>
    </row>
    <row r="814">
      <c r="A814" s="46"/>
      <c r="B814" s="46"/>
      <c r="C814" s="46"/>
    </row>
    <row r="815">
      <c r="A815" s="46"/>
      <c r="B815" s="46"/>
      <c r="C815" s="46"/>
    </row>
    <row r="816">
      <c r="A816" s="46"/>
      <c r="B816" s="46"/>
      <c r="C816" s="46"/>
    </row>
    <row r="817">
      <c r="A817" s="46"/>
      <c r="B817" s="46"/>
      <c r="C817" s="46"/>
    </row>
    <row r="818">
      <c r="A818" s="46"/>
      <c r="B818" s="46"/>
      <c r="C818" s="46"/>
    </row>
    <row r="819">
      <c r="A819" s="46"/>
      <c r="B819" s="46"/>
      <c r="C819" s="46"/>
    </row>
    <row r="820">
      <c r="A820" s="46"/>
      <c r="B820" s="46"/>
      <c r="C820" s="46"/>
    </row>
    <row r="821">
      <c r="A821" s="46"/>
      <c r="B821" s="46"/>
      <c r="C821" s="46"/>
    </row>
    <row r="822">
      <c r="A822" s="46"/>
      <c r="B822" s="46"/>
      <c r="C822" s="46"/>
    </row>
    <row r="823">
      <c r="A823" s="46"/>
      <c r="B823" s="46"/>
      <c r="C823" s="46"/>
    </row>
    <row r="824">
      <c r="A824" s="46"/>
      <c r="B824" s="46"/>
      <c r="C824" s="46"/>
    </row>
    <row r="825">
      <c r="A825" s="46"/>
      <c r="B825" s="46"/>
      <c r="C825" s="46"/>
    </row>
    <row r="826">
      <c r="A826" s="46"/>
      <c r="B826" s="46"/>
      <c r="C826" s="46"/>
    </row>
    <row r="827">
      <c r="A827" s="46"/>
      <c r="B827" s="46"/>
      <c r="C827" s="46"/>
    </row>
    <row r="828">
      <c r="A828" s="46"/>
      <c r="B828" s="46"/>
      <c r="C828" s="46"/>
    </row>
    <row r="829">
      <c r="A829" s="46"/>
      <c r="B829" s="46"/>
      <c r="C829" s="46"/>
    </row>
    <row r="830">
      <c r="A830" s="46"/>
      <c r="B830" s="46"/>
      <c r="C830" s="46"/>
    </row>
    <row r="831">
      <c r="A831" s="46"/>
      <c r="B831" s="46"/>
      <c r="C831" s="46"/>
    </row>
    <row r="832">
      <c r="A832" s="46"/>
      <c r="B832" s="46"/>
      <c r="C832" s="46"/>
    </row>
    <row r="833">
      <c r="A833" s="46"/>
      <c r="B833" s="46"/>
      <c r="C833" s="46"/>
    </row>
    <row r="834">
      <c r="A834" s="46"/>
      <c r="B834" s="46"/>
      <c r="C834" s="46"/>
    </row>
    <row r="835">
      <c r="A835" s="46"/>
      <c r="B835" s="46"/>
      <c r="C835" s="46"/>
    </row>
    <row r="836">
      <c r="A836" s="46"/>
      <c r="B836" s="46"/>
      <c r="C836" s="46"/>
    </row>
    <row r="837">
      <c r="A837" s="46"/>
      <c r="B837" s="46"/>
      <c r="C837" s="46"/>
    </row>
    <row r="838">
      <c r="A838" s="46"/>
      <c r="B838" s="46"/>
      <c r="C838" s="46"/>
    </row>
    <row r="839">
      <c r="A839" s="46"/>
      <c r="B839" s="46"/>
      <c r="C839" s="46"/>
    </row>
    <row r="840">
      <c r="A840" s="46"/>
      <c r="B840" s="46"/>
      <c r="C840" s="46"/>
    </row>
    <row r="841">
      <c r="A841" s="46"/>
      <c r="B841" s="46"/>
      <c r="C841" s="46"/>
    </row>
    <row r="842">
      <c r="A842" s="46"/>
      <c r="B842" s="46"/>
      <c r="C842" s="46"/>
    </row>
    <row r="843">
      <c r="A843" s="46"/>
      <c r="B843" s="46"/>
      <c r="C843" s="46"/>
    </row>
    <row r="844">
      <c r="A844" s="46"/>
      <c r="B844" s="46"/>
      <c r="C844" s="46"/>
    </row>
    <row r="845">
      <c r="A845" s="46"/>
      <c r="B845" s="46"/>
      <c r="C845" s="46"/>
    </row>
    <row r="846">
      <c r="A846" s="46"/>
      <c r="B846" s="46"/>
      <c r="C846" s="46"/>
    </row>
    <row r="847">
      <c r="A847" s="46"/>
      <c r="B847" s="46"/>
      <c r="C847" s="46"/>
    </row>
    <row r="848">
      <c r="A848" s="46"/>
      <c r="B848" s="46"/>
      <c r="C848" s="46"/>
    </row>
    <row r="849">
      <c r="A849" s="46"/>
      <c r="B849" s="46"/>
      <c r="C849" s="46"/>
    </row>
    <row r="850">
      <c r="A850" s="46"/>
      <c r="B850" s="46"/>
      <c r="C850" s="46"/>
    </row>
    <row r="851">
      <c r="A851" s="46"/>
      <c r="B851" s="46"/>
      <c r="C851" s="46"/>
    </row>
    <row r="852">
      <c r="A852" s="46"/>
      <c r="B852" s="46"/>
      <c r="C852" s="46"/>
    </row>
    <row r="853">
      <c r="A853" s="46"/>
      <c r="B853" s="46"/>
      <c r="C853" s="46"/>
    </row>
    <row r="854">
      <c r="A854" s="46"/>
      <c r="B854" s="46"/>
      <c r="C854" s="46"/>
    </row>
    <row r="855">
      <c r="A855" s="46"/>
      <c r="B855" s="46"/>
      <c r="C855" s="46"/>
    </row>
    <row r="856">
      <c r="A856" s="46"/>
      <c r="B856" s="46"/>
      <c r="C856" s="46"/>
    </row>
    <row r="857">
      <c r="A857" s="46"/>
      <c r="B857" s="46"/>
      <c r="C857" s="46"/>
    </row>
    <row r="858">
      <c r="A858" s="46"/>
      <c r="B858" s="46"/>
      <c r="C858" s="46"/>
    </row>
    <row r="859">
      <c r="A859" s="46"/>
      <c r="B859" s="46"/>
      <c r="C859" s="46"/>
    </row>
    <row r="860">
      <c r="A860" s="46"/>
      <c r="B860" s="46"/>
      <c r="C860" s="46"/>
    </row>
    <row r="861">
      <c r="A861" s="46"/>
      <c r="B861" s="46"/>
      <c r="C861" s="46"/>
    </row>
    <row r="862">
      <c r="A862" s="46"/>
      <c r="B862" s="46"/>
      <c r="C862" s="46"/>
    </row>
    <row r="863">
      <c r="A863" s="46"/>
      <c r="B863" s="46"/>
      <c r="C863" s="46"/>
    </row>
    <row r="864">
      <c r="A864" s="46"/>
      <c r="B864" s="46"/>
      <c r="C864" s="46"/>
    </row>
    <row r="865">
      <c r="A865" s="46"/>
      <c r="B865" s="46"/>
      <c r="C865" s="46"/>
    </row>
    <row r="866">
      <c r="A866" s="46"/>
      <c r="B866" s="46"/>
      <c r="C866" s="46"/>
    </row>
    <row r="867">
      <c r="A867" s="46"/>
      <c r="B867" s="46"/>
      <c r="C867" s="46"/>
    </row>
    <row r="868">
      <c r="A868" s="46"/>
      <c r="B868" s="46"/>
      <c r="C868" s="46"/>
    </row>
    <row r="869">
      <c r="A869" s="46"/>
      <c r="B869" s="46"/>
      <c r="C869" s="46"/>
    </row>
    <row r="870">
      <c r="A870" s="46"/>
      <c r="B870" s="46"/>
      <c r="C870" s="46"/>
    </row>
    <row r="871">
      <c r="A871" s="46"/>
      <c r="B871" s="46"/>
      <c r="C871" s="46"/>
    </row>
    <row r="872">
      <c r="A872" s="46"/>
      <c r="B872" s="46"/>
      <c r="C872" s="46"/>
    </row>
    <row r="873">
      <c r="A873" s="46"/>
      <c r="B873" s="46"/>
      <c r="C873" s="46"/>
    </row>
    <row r="874">
      <c r="A874" s="46"/>
      <c r="B874" s="46"/>
      <c r="C874" s="46"/>
    </row>
    <row r="875">
      <c r="A875" s="46"/>
      <c r="B875" s="46"/>
      <c r="C875" s="46"/>
    </row>
    <row r="876">
      <c r="A876" s="46"/>
      <c r="B876" s="46"/>
      <c r="C876" s="46"/>
    </row>
    <row r="877">
      <c r="A877" s="46"/>
      <c r="B877" s="46"/>
      <c r="C877" s="46"/>
    </row>
    <row r="878">
      <c r="A878" s="46"/>
      <c r="B878" s="46"/>
      <c r="C878" s="46"/>
    </row>
    <row r="879">
      <c r="A879" s="46"/>
      <c r="B879" s="46"/>
      <c r="C879" s="46"/>
    </row>
    <row r="880">
      <c r="A880" s="46"/>
      <c r="B880" s="46"/>
      <c r="C880" s="46"/>
    </row>
    <row r="881">
      <c r="A881" s="46"/>
      <c r="B881" s="46"/>
      <c r="C881" s="46"/>
    </row>
    <row r="882">
      <c r="A882" s="46"/>
      <c r="B882" s="46"/>
      <c r="C882" s="46"/>
    </row>
    <row r="883">
      <c r="A883" s="46"/>
      <c r="B883" s="46"/>
      <c r="C883" s="46"/>
    </row>
    <row r="884">
      <c r="A884" s="46"/>
      <c r="B884" s="46"/>
      <c r="C884" s="46"/>
    </row>
    <row r="885">
      <c r="A885" s="46"/>
      <c r="B885" s="46"/>
      <c r="C885" s="46"/>
    </row>
    <row r="886">
      <c r="A886" s="46"/>
      <c r="B886" s="46"/>
      <c r="C886" s="46"/>
    </row>
    <row r="887">
      <c r="A887" s="46"/>
      <c r="B887" s="46"/>
      <c r="C887" s="46"/>
    </row>
    <row r="888">
      <c r="A888" s="46"/>
      <c r="B888" s="46"/>
      <c r="C888" s="46"/>
    </row>
    <row r="889">
      <c r="A889" s="46"/>
      <c r="B889" s="46"/>
      <c r="C889" s="46"/>
    </row>
    <row r="890">
      <c r="A890" s="46"/>
      <c r="B890" s="46"/>
      <c r="C890" s="46"/>
    </row>
    <row r="891">
      <c r="A891" s="46"/>
      <c r="B891" s="46"/>
      <c r="C891" s="46"/>
    </row>
    <row r="892">
      <c r="A892" s="46"/>
      <c r="B892" s="46"/>
      <c r="C892" s="46"/>
    </row>
    <row r="893">
      <c r="A893" s="46"/>
      <c r="B893" s="46"/>
      <c r="C893" s="46"/>
    </row>
    <row r="894">
      <c r="A894" s="46"/>
      <c r="B894" s="46"/>
      <c r="C894" s="46"/>
    </row>
    <row r="895">
      <c r="A895" s="46"/>
      <c r="B895" s="46"/>
      <c r="C895" s="46"/>
    </row>
    <row r="896">
      <c r="A896" s="46"/>
      <c r="B896" s="46"/>
      <c r="C896" s="46"/>
    </row>
    <row r="897">
      <c r="A897" s="46"/>
      <c r="B897" s="46"/>
      <c r="C897" s="46"/>
    </row>
    <row r="898">
      <c r="A898" s="46"/>
      <c r="B898" s="46"/>
      <c r="C898" s="46"/>
    </row>
    <row r="899">
      <c r="A899" s="46"/>
      <c r="B899" s="46"/>
      <c r="C899" s="46"/>
    </row>
    <row r="900">
      <c r="A900" s="46"/>
      <c r="B900" s="46"/>
      <c r="C900" s="46"/>
    </row>
    <row r="901">
      <c r="A901" s="46"/>
      <c r="B901" s="46"/>
      <c r="C901" s="46"/>
    </row>
    <row r="902">
      <c r="A902" s="46"/>
      <c r="B902" s="46"/>
      <c r="C902" s="46"/>
    </row>
    <row r="903">
      <c r="A903" s="46"/>
      <c r="B903" s="46"/>
      <c r="C903" s="46"/>
    </row>
    <row r="904">
      <c r="A904" s="46"/>
      <c r="B904" s="46"/>
      <c r="C904" s="46"/>
    </row>
    <row r="905">
      <c r="A905" s="46"/>
      <c r="B905" s="46"/>
      <c r="C905" s="46"/>
    </row>
    <row r="906">
      <c r="A906" s="46"/>
      <c r="B906" s="46"/>
      <c r="C906" s="46"/>
    </row>
    <row r="907">
      <c r="A907" s="46"/>
      <c r="B907" s="46"/>
      <c r="C907" s="46"/>
    </row>
    <row r="908">
      <c r="A908" s="46"/>
      <c r="B908" s="46"/>
      <c r="C908" s="46"/>
    </row>
    <row r="909">
      <c r="A909" s="46"/>
      <c r="B909" s="46"/>
      <c r="C909" s="46"/>
    </row>
    <row r="910">
      <c r="A910" s="46"/>
      <c r="B910" s="46"/>
      <c r="C910" s="46"/>
    </row>
    <row r="911">
      <c r="A911" s="46"/>
      <c r="B911" s="46"/>
      <c r="C911" s="46"/>
    </row>
    <row r="912">
      <c r="A912" s="46"/>
      <c r="B912" s="46"/>
      <c r="C912" s="46"/>
    </row>
    <row r="913">
      <c r="A913" s="46"/>
      <c r="B913" s="46"/>
      <c r="C913" s="46"/>
    </row>
    <row r="914">
      <c r="A914" s="46"/>
      <c r="B914" s="46"/>
      <c r="C914" s="46"/>
    </row>
    <row r="915">
      <c r="A915" s="46"/>
      <c r="B915" s="46"/>
      <c r="C915" s="46"/>
    </row>
    <row r="916">
      <c r="A916" s="46"/>
      <c r="B916" s="46"/>
      <c r="C916" s="46"/>
    </row>
    <row r="917">
      <c r="A917" s="46"/>
      <c r="B917" s="46"/>
      <c r="C917" s="46"/>
    </row>
    <row r="918">
      <c r="A918" s="46"/>
      <c r="B918" s="46"/>
      <c r="C918" s="46"/>
    </row>
    <row r="919">
      <c r="A919" s="46"/>
      <c r="B919" s="46"/>
      <c r="C919" s="46"/>
    </row>
    <row r="920">
      <c r="A920" s="46"/>
      <c r="B920" s="46"/>
      <c r="C920" s="46"/>
    </row>
    <row r="921">
      <c r="A921" s="46"/>
      <c r="B921" s="46"/>
      <c r="C921" s="46"/>
    </row>
    <row r="922">
      <c r="A922" s="46"/>
      <c r="B922" s="46"/>
      <c r="C922" s="46"/>
    </row>
    <row r="923">
      <c r="A923" s="46"/>
      <c r="B923" s="46"/>
      <c r="C923" s="46"/>
    </row>
    <row r="924">
      <c r="A924" s="46"/>
      <c r="B924" s="46"/>
      <c r="C924" s="46"/>
    </row>
    <row r="925">
      <c r="A925" s="46"/>
      <c r="B925" s="46"/>
      <c r="C925" s="46"/>
    </row>
    <row r="926">
      <c r="A926" s="46"/>
      <c r="B926" s="46"/>
      <c r="C926" s="46"/>
    </row>
    <row r="927">
      <c r="A927" s="46"/>
      <c r="B927" s="46"/>
      <c r="C927" s="46"/>
    </row>
    <row r="928">
      <c r="A928" s="46"/>
      <c r="B928" s="46"/>
      <c r="C928" s="46"/>
    </row>
    <row r="929">
      <c r="A929" s="46"/>
      <c r="B929" s="46"/>
      <c r="C929" s="46"/>
    </row>
    <row r="930">
      <c r="A930" s="46"/>
      <c r="B930" s="46"/>
      <c r="C930" s="46"/>
    </row>
    <row r="931">
      <c r="A931" s="46"/>
      <c r="B931" s="46"/>
      <c r="C931" s="46"/>
    </row>
    <row r="932">
      <c r="A932" s="46"/>
      <c r="B932" s="46"/>
      <c r="C932" s="46"/>
    </row>
    <row r="933">
      <c r="A933" s="46"/>
      <c r="B933" s="46"/>
      <c r="C933" s="46"/>
    </row>
    <row r="934">
      <c r="A934" s="46"/>
      <c r="B934" s="46"/>
      <c r="C934" s="46"/>
    </row>
    <row r="935">
      <c r="A935" s="46"/>
      <c r="B935" s="46"/>
      <c r="C935" s="46"/>
    </row>
    <row r="936">
      <c r="A936" s="46"/>
      <c r="B936" s="46"/>
      <c r="C936" s="46"/>
    </row>
    <row r="937">
      <c r="A937" s="46"/>
      <c r="B937" s="46"/>
      <c r="C937" s="46"/>
    </row>
    <row r="938">
      <c r="A938" s="46"/>
      <c r="B938" s="46"/>
      <c r="C938" s="46"/>
    </row>
    <row r="939">
      <c r="A939" s="46"/>
      <c r="B939" s="46"/>
      <c r="C939" s="46"/>
    </row>
    <row r="940">
      <c r="A940" s="46"/>
      <c r="B940" s="46"/>
      <c r="C940" s="46"/>
    </row>
    <row r="941">
      <c r="A941" s="46"/>
      <c r="B941" s="46"/>
      <c r="C941" s="46"/>
    </row>
    <row r="942">
      <c r="A942" s="46"/>
      <c r="B942" s="46"/>
      <c r="C942" s="46"/>
    </row>
    <row r="943">
      <c r="A943" s="46"/>
      <c r="B943" s="46"/>
      <c r="C943" s="46"/>
    </row>
    <row r="944">
      <c r="A944" s="46"/>
      <c r="B944" s="46"/>
      <c r="C944" s="46"/>
    </row>
    <row r="945">
      <c r="A945" s="46"/>
      <c r="B945" s="46"/>
      <c r="C945" s="46"/>
    </row>
    <row r="946">
      <c r="A946" s="46"/>
      <c r="B946" s="46"/>
      <c r="C946" s="46"/>
    </row>
    <row r="947">
      <c r="A947" s="46"/>
      <c r="B947" s="46"/>
      <c r="C947" s="46"/>
    </row>
    <row r="948">
      <c r="A948" s="46"/>
      <c r="B948" s="46"/>
      <c r="C948" s="46"/>
    </row>
    <row r="949">
      <c r="A949" s="46"/>
      <c r="B949" s="46"/>
      <c r="C949" s="46"/>
    </row>
    <row r="950">
      <c r="A950" s="46"/>
      <c r="B950" s="46"/>
      <c r="C950" s="46"/>
    </row>
    <row r="951">
      <c r="A951" s="46"/>
      <c r="B951" s="46"/>
      <c r="C951" s="46"/>
    </row>
    <row r="952">
      <c r="A952" s="46"/>
      <c r="B952" s="46"/>
      <c r="C952" s="46"/>
    </row>
    <row r="953">
      <c r="A953" s="46"/>
      <c r="B953" s="46"/>
      <c r="C953" s="46"/>
    </row>
    <row r="954">
      <c r="A954" s="46"/>
      <c r="B954" s="46"/>
      <c r="C954" s="46"/>
    </row>
    <row r="955">
      <c r="A955" s="46"/>
      <c r="B955" s="46"/>
      <c r="C955" s="46"/>
    </row>
    <row r="956">
      <c r="A956" s="46"/>
      <c r="B956" s="46"/>
      <c r="C956" s="46"/>
    </row>
    <row r="957">
      <c r="A957" s="46"/>
      <c r="B957" s="46"/>
      <c r="C957" s="46"/>
    </row>
    <row r="958">
      <c r="A958" s="46"/>
      <c r="B958" s="46"/>
      <c r="C958" s="46"/>
    </row>
    <row r="959">
      <c r="A959" s="46"/>
      <c r="B959" s="46"/>
      <c r="C959" s="46"/>
    </row>
    <row r="960">
      <c r="A960" s="46"/>
      <c r="B960" s="46"/>
      <c r="C960" s="46"/>
    </row>
    <row r="961">
      <c r="A961" s="46"/>
      <c r="B961" s="46"/>
      <c r="C961" s="46"/>
    </row>
    <row r="962">
      <c r="A962" s="46"/>
      <c r="B962" s="46"/>
      <c r="C962" s="46"/>
    </row>
    <row r="963">
      <c r="A963" s="46"/>
      <c r="B963" s="46"/>
      <c r="C963" s="46"/>
    </row>
    <row r="964">
      <c r="A964" s="46"/>
      <c r="B964" s="46"/>
      <c r="C964" s="46"/>
    </row>
    <row r="965">
      <c r="A965" s="46"/>
      <c r="B965" s="46"/>
      <c r="C965" s="46"/>
    </row>
    <row r="966">
      <c r="A966" s="46"/>
      <c r="B966" s="46"/>
      <c r="C966" s="46"/>
    </row>
    <row r="967">
      <c r="A967" s="46"/>
      <c r="B967" s="46"/>
      <c r="C967" s="46"/>
    </row>
    <row r="968">
      <c r="A968" s="46"/>
      <c r="B968" s="46"/>
      <c r="C968" s="46"/>
    </row>
    <row r="969">
      <c r="A969" s="46"/>
      <c r="B969" s="46"/>
      <c r="C969" s="46"/>
    </row>
    <row r="970">
      <c r="A970" s="46"/>
      <c r="B970" s="46"/>
      <c r="C970" s="46"/>
    </row>
    <row r="971">
      <c r="A971" s="46"/>
      <c r="B971" s="46"/>
      <c r="C971" s="46"/>
    </row>
    <row r="972">
      <c r="A972" s="46"/>
      <c r="B972" s="46"/>
      <c r="C972" s="46"/>
    </row>
    <row r="973">
      <c r="A973" s="46"/>
      <c r="B973" s="46"/>
      <c r="C973" s="46"/>
    </row>
    <row r="974">
      <c r="A974" s="46"/>
      <c r="B974" s="46"/>
      <c r="C974" s="46"/>
    </row>
    <row r="975">
      <c r="A975" s="46"/>
      <c r="B975" s="46"/>
      <c r="C975" s="46"/>
    </row>
    <row r="976">
      <c r="A976" s="46"/>
      <c r="B976" s="46"/>
      <c r="C976" s="46"/>
    </row>
    <row r="977">
      <c r="A977" s="46"/>
      <c r="B977" s="46"/>
      <c r="C977" s="46"/>
    </row>
    <row r="978">
      <c r="A978" s="46"/>
      <c r="B978" s="46"/>
      <c r="C978" s="46"/>
    </row>
    <row r="979">
      <c r="A979" s="46"/>
      <c r="B979" s="46"/>
      <c r="C979" s="46"/>
    </row>
    <row r="980">
      <c r="A980" s="46"/>
      <c r="B980" s="46"/>
      <c r="C980" s="46"/>
    </row>
    <row r="981">
      <c r="A981" s="46"/>
      <c r="B981" s="46"/>
      <c r="C981" s="46"/>
    </row>
    <row r="982">
      <c r="A982" s="46"/>
      <c r="B982" s="46"/>
      <c r="C982" s="46"/>
    </row>
    <row r="983">
      <c r="A983" s="46"/>
      <c r="B983" s="46"/>
      <c r="C983" s="46"/>
    </row>
    <row r="984">
      <c r="A984" s="46"/>
      <c r="B984" s="46"/>
      <c r="C984" s="46"/>
    </row>
    <row r="985">
      <c r="A985" s="46"/>
      <c r="B985" s="46"/>
      <c r="C985" s="46"/>
    </row>
    <row r="986">
      <c r="A986" s="46"/>
      <c r="B986" s="46"/>
      <c r="C986" s="46"/>
    </row>
    <row r="987">
      <c r="A987" s="46"/>
      <c r="B987" s="46"/>
      <c r="C987" s="46"/>
    </row>
    <row r="988">
      <c r="A988" s="46"/>
      <c r="B988" s="46"/>
      <c r="C988" s="46"/>
    </row>
    <row r="989">
      <c r="A989" s="46"/>
      <c r="B989" s="46"/>
      <c r="C989" s="46"/>
    </row>
    <row r="990">
      <c r="A990" s="46"/>
      <c r="B990" s="46"/>
      <c r="C990" s="46"/>
    </row>
    <row r="991">
      <c r="A991" s="46"/>
      <c r="B991" s="46"/>
      <c r="C991" s="46"/>
    </row>
    <row r="992">
      <c r="A992" s="46"/>
      <c r="B992" s="46"/>
      <c r="C992" s="46"/>
    </row>
    <row r="993">
      <c r="A993" s="46"/>
      <c r="B993" s="46"/>
      <c r="C993" s="46"/>
    </row>
    <row r="994">
      <c r="A994" s="46"/>
      <c r="B994" s="46"/>
      <c r="C994" s="46"/>
    </row>
    <row r="995">
      <c r="A995" s="46"/>
      <c r="B995" s="46"/>
      <c r="C995" s="46"/>
    </row>
    <row r="996">
      <c r="A996" s="46"/>
      <c r="B996" s="46"/>
      <c r="C996" s="46"/>
    </row>
    <row r="997">
      <c r="A997" s="46"/>
      <c r="B997" s="46"/>
      <c r="C997" s="46"/>
    </row>
    <row r="998">
      <c r="A998" s="46"/>
      <c r="B998" s="46"/>
      <c r="C998" s="46"/>
    </row>
    <row r="999">
      <c r="A999" s="46"/>
      <c r="B999" s="46"/>
      <c r="C999" s="46"/>
    </row>
    <row r="1000">
      <c r="A1000" s="46"/>
      <c r="B1000" s="46"/>
      <c r="C1000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13"/>
  </cols>
  <sheetData>
    <row r="1">
      <c r="A1" s="28" t="s">
        <v>31</v>
      </c>
      <c r="B1" s="28" t="s">
        <v>32</v>
      </c>
      <c r="C1" s="28" t="s">
        <v>33</v>
      </c>
      <c r="E1" s="47" t="s">
        <v>41</v>
      </c>
      <c r="F1" s="47">
        <v>4.0E-4</v>
      </c>
      <c r="G1" s="47">
        <v>8.0E-4</v>
      </c>
      <c r="H1" s="48"/>
    </row>
    <row r="2">
      <c r="A2" s="32">
        <v>1.0</v>
      </c>
      <c r="B2" s="33">
        <v>0.0264818880351263</v>
      </c>
      <c r="C2" s="33">
        <v>0.06259595254710404</v>
      </c>
      <c r="E2" s="47" t="s">
        <v>42</v>
      </c>
      <c r="F2" s="49">
        <v>51.0</v>
      </c>
      <c r="G2" s="49">
        <v>51.0</v>
      </c>
      <c r="H2" s="48"/>
    </row>
    <row r="3">
      <c r="A3" s="32">
        <v>2.0</v>
      </c>
      <c r="B3" s="33">
        <v>0.03463940942646215</v>
      </c>
      <c r="C3" s="33">
        <v>-0.011860433043718088</v>
      </c>
      <c r="E3" s="50" t="s">
        <v>43</v>
      </c>
      <c r="F3" s="49">
        <v>50.0</v>
      </c>
      <c r="G3" s="49">
        <v>50.0</v>
      </c>
      <c r="H3" s="48"/>
    </row>
    <row r="4">
      <c r="A4" s="32">
        <v>3.0</v>
      </c>
      <c r="B4" s="33">
        <v>-9.927669834066677E-4</v>
      </c>
      <c r="C4" s="33">
        <v>0.045792168457489124</v>
      </c>
      <c r="E4" s="51" t="s">
        <v>44</v>
      </c>
      <c r="F4" s="52">
        <f t="shared" ref="F4:G4" si="1">_xlfn.STDEV.S(B2:B52)</f>
        <v>0.02024157444</v>
      </c>
      <c r="G4" s="52">
        <f t="shared" si="1"/>
        <v>0.02848157494</v>
      </c>
      <c r="H4" s="48"/>
    </row>
    <row r="5">
      <c r="A5" s="32">
        <v>4.0</v>
      </c>
      <c r="B5" s="33">
        <v>0.02010995370370372</v>
      </c>
      <c r="C5" s="33">
        <v>-0.016315528126551793</v>
      </c>
      <c r="E5" s="51" t="s">
        <v>45</v>
      </c>
      <c r="F5" s="52">
        <f t="shared" ref="F5:G5" si="2">_xlfn.STDEV.P(B2:B52)</f>
        <v>0.0200421452</v>
      </c>
      <c r="G5" s="52">
        <f t="shared" si="2"/>
        <v>0.02820096145</v>
      </c>
      <c r="H5" s="48"/>
    </row>
    <row r="6">
      <c r="A6" s="32">
        <v>5.0</v>
      </c>
      <c r="B6" s="33">
        <v>-0.010734220695577501</v>
      </c>
      <c r="C6" s="33">
        <v>-0.010806259209879987</v>
      </c>
      <c r="E6" s="14" t="s">
        <v>46</v>
      </c>
      <c r="F6" s="53">
        <f t="shared" ref="F6:G6" si="3">F4^2</f>
        <v>0.0004097213359</v>
      </c>
      <c r="G6" s="53">
        <f t="shared" si="3"/>
        <v>0.0008112001111</v>
      </c>
      <c r="H6" s="48"/>
    </row>
    <row r="7">
      <c r="A7" s="32">
        <v>6.0</v>
      </c>
      <c r="B7" s="33">
        <v>-0.002711961176134703</v>
      </c>
      <c r="C7" s="33">
        <v>-0.029553966632618334</v>
      </c>
      <c r="E7" s="14" t="s">
        <v>47</v>
      </c>
      <c r="F7" s="25" t="s">
        <v>48</v>
      </c>
      <c r="G7" s="25" t="s">
        <v>48</v>
      </c>
      <c r="H7" s="48"/>
    </row>
    <row r="8">
      <c r="A8" s="32">
        <v>7.0</v>
      </c>
      <c r="B8" s="33">
        <v>-0.006522972206466138</v>
      </c>
      <c r="C8" s="33">
        <v>-0.016541655504955788</v>
      </c>
      <c r="E8" s="1" t="s">
        <v>49</v>
      </c>
      <c r="F8" s="54">
        <f t="shared" ref="F8:G8" si="4">(F3*F6)/F1</f>
        <v>51.21516699</v>
      </c>
      <c r="G8" s="54">
        <f t="shared" si="4"/>
        <v>50.70000694</v>
      </c>
      <c r="H8" s="48"/>
      <c r="L8" s="55"/>
    </row>
    <row r="9">
      <c r="A9" s="32">
        <v>8.0</v>
      </c>
      <c r="B9" s="33">
        <v>0.014530283412458544</v>
      </c>
      <c r="C9" s="33">
        <v>0.04903751580722204</v>
      </c>
      <c r="E9" s="47" t="s">
        <v>50</v>
      </c>
      <c r="F9" s="52">
        <f t="shared" ref="F9:G9" si="5">2*_xlfn.CHISQ.DIST.RT(F8,F3)</f>
        <v>0.8515491188</v>
      </c>
      <c r="G9" s="52">
        <f t="shared" si="5"/>
        <v>0.8915610353</v>
      </c>
      <c r="H9" s="48"/>
    </row>
    <row r="10">
      <c r="A10" s="32">
        <v>9.0</v>
      </c>
      <c r="B10" s="33">
        <v>-0.04269384382316477</v>
      </c>
      <c r="C10" s="33">
        <v>-0.025001712446057978</v>
      </c>
      <c r="E10" s="14"/>
      <c r="F10" s="25"/>
      <c r="G10" s="25"/>
      <c r="H10" s="48"/>
    </row>
    <row r="11">
      <c r="A11" s="32">
        <v>10.0</v>
      </c>
      <c r="B11" s="33">
        <v>0.0023467697404748744</v>
      </c>
      <c r="C11" s="33">
        <v>0.016431107707303605</v>
      </c>
      <c r="E11" s="56" t="s">
        <v>51</v>
      </c>
      <c r="F11" s="57"/>
      <c r="G11" s="57"/>
      <c r="H11" s="48"/>
    </row>
    <row r="12">
      <c r="A12" s="32">
        <v>11.0</v>
      </c>
      <c r="B12" s="33">
        <v>0.025191055759977266</v>
      </c>
      <c r="C12" s="33">
        <v>0.0032830399552947753</v>
      </c>
      <c r="E12" s="56" t="s">
        <v>52</v>
      </c>
      <c r="F12" s="57"/>
      <c r="G12" s="57"/>
      <c r="H12" s="48"/>
    </row>
    <row r="13">
      <c r="A13" s="32">
        <v>12.0</v>
      </c>
      <c r="B13" s="33">
        <v>0.008564087924636032</v>
      </c>
      <c r="C13" s="33">
        <v>0.020312165918323632</v>
      </c>
      <c r="E13" s="1" t="s">
        <v>53</v>
      </c>
      <c r="F13" s="48"/>
      <c r="G13" s="48"/>
      <c r="H13" s="48"/>
    </row>
    <row r="14">
      <c r="A14" s="32">
        <v>13.0</v>
      </c>
      <c r="B14" s="33">
        <v>0.0239695995323006</v>
      </c>
      <c r="C14" s="33">
        <v>-0.02147988004742296</v>
      </c>
      <c r="E14" s="58"/>
      <c r="F14" s="58"/>
      <c r="G14" s="44"/>
      <c r="H14" s="48"/>
    </row>
    <row r="15">
      <c r="A15" s="32">
        <v>14.0</v>
      </c>
      <c r="B15" s="33">
        <v>-0.011557353366079104</v>
      </c>
      <c r="C15" s="33">
        <v>-0.036033613445378254</v>
      </c>
      <c r="E15" s="44"/>
      <c r="F15" s="59"/>
      <c r="G15" s="59"/>
      <c r="H15" s="48"/>
    </row>
    <row r="16">
      <c r="A16" s="32">
        <v>15.0</v>
      </c>
      <c r="B16" s="33">
        <v>0.018540317834019993</v>
      </c>
      <c r="C16" s="33">
        <v>-0.014051832703652178</v>
      </c>
      <c r="E16" s="48"/>
      <c r="F16" s="48"/>
      <c r="G16" s="48"/>
      <c r="H16" s="48"/>
    </row>
    <row r="17">
      <c r="A17" s="32">
        <v>16.0</v>
      </c>
      <c r="B17" s="33">
        <v>0.02088027640078116</v>
      </c>
      <c r="C17" s="33">
        <v>0.024166723236711762</v>
      </c>
    </row>
    <row r="18">
      <c r="A18" s="32">
        <v>17.0</v>
      </c>
      <c r="B18" s="33">
        <v>0.005741048496751722</v>
      </c>
      <c r="C18" s="33">
        <v>0.057046498277841584</v>
      </c>
    </row>
    <row r="19">
      <c r="A19" s="32">
        <v>18.0</v>
      </c>
      <c r="B19" s="33">
        <v>0.015028369881920023</v>
      </c>
      <c r="C19" s="33">
        <v>0.010953935437069351</v>
      </c>
    </row>
    <row r="20">
      <c r="A20" s="32">
        <v>19.0</v>
      </c>
      <c r="B20" s="33">
        <v>-0.0038191261839291</v>
      </c>
      <c r="C20" s="33">
        <v>-0.009271237602414772</v>
      </c>
    </row>
    <row r="21">
      <c r="A21" s="32">
        <v>20.0</v>
      </c>
      <c r="B21" s="33">
        <v>-0.008782556026650679</v>
      </c>
      <c r="C21" s="33">
        <v>-0.01235093696763212</v>
      </c>
    </row>
    <row r="22">
      <c r="A22" s="32">
        <v>21.0</v>
      </c>
      <c r="B22" s="33">
        <v>-0.013886814991787233</v>
      </c>
      <c r="C22" s="33">
        <v>-0.009978917779339569</v>
      </c>
    </row>
    <row r="23">
      <c r="A23" s="32">
        <v>22.0</v>
      </c>
      <c r="B23" s="33">
        <v>-0.015002206206795043</v>
      </c>
      <c r="C23" s="33">
        <v>-0.015156758253166314</v>
      </c>
    </row>
    <row r="24">
      <c r="A24" s="32">
        <v>23.0</v>
      </c>
      <c r="B24" s="33">
        <v>-0.016206048328751277</v>
      </c>
      <c r="C24" s="33">
        <v>-0.006668499931252625</v>
      </c>
    </row>
    <row r="25">
      <c r="A25" s="32">
        <v>24.0</v>
      </c>
      <c r="B25" s="33">
        <v>0.003047895500725595</v>
      </c>
      <c r="C25" s="33">
        <v>-0.0049935016074970084</v>
      </c>
    </row>
    <row r="26">
      <c r="A26" s="32">
        <v>25.0</v>
      </c>
      <c r="B26" s="33">
        <v>-0.006058857472590717</v>
      </c>
      <c r="C26" s="33">
        <v>0.03570669500531354</v>
      </c>
    </row>
    <row r="27">
      <c r="A27" s="32">
        <v>26.0</v>
      </c>
      <c r="B27" s="33">
        <v>0.02151488358384901</v>
      </c>
      <c r="C27" s="33">
        <v>0.04254376246399305</v>
      </c>
    </row>
    <row r="28">
      <c r="A28" s="32">
        <v>27.0</v>
      </c>
      <c r="B28" s="33">
        <v>-0.004401408450704136</v>
      </c>
      <c r="C28" s="33">
        <v>-0.029044750430292643</v>
      </c>
    </row>
    <row r="29">
      <c r="A29" s="32">
        <v>28.0</v>
      </c>
      <c r="B29" s="33">
        <v>-0.009734127560656725</v>
      </c>
      <c r="C29" s="33">
        <v>0.0015082956259426794</v>
      </c>
    </row>
    <row r="30">
      <c r="A30" s="32">
        <v>29.0</v>
      </c>
      <c r="B30" s="33">
        <v>-2.904865649963062E-4</v>
      </c>
      <c r="C30" s="33">
        <v>0.05894432613325229</v>
      </c>
    </row>
    <row r="31">
      <c r="A31" s="32">
        <v>30.0</v>
      </c>
      <c r="B31" s="33">
        <v>-0.020765182762053858</v>
      </c>
      <c r="C31" s="33">
        <v>-8.359297818983924E-4</v>
      </c>
    </row>
    <row r="32">
      <c r="A32" s="32">
        <v>31.0</v>
      </c>
      <c r="B32" s="33">
        <v>0.014427932477276029</v>
      </c>
      <c r="C32" s="33">
        <v>0.03305071439786467</v>
      </c>
    </row>
    <row r="33">
      <c r="A33" s="32">
        <v>32.0</v>
      </c>
      <c r="B33" s="33">
        <v>0.02166863207547176</v>
      </c>
      <c r="C33" s="33">
        <v>0.015303682448589262</v>
      </c>
    </row>
    <row r="34">
      <c r="A34" s="32">
        <v>33.0</v>
      </c>
      <c r="B34" s="33">
        <v>-0.02374442365808016</v>
      </c>
      <c r="C34" s="33">
        <v>-0.01360169824671753</v>
      </c>
    </row>
    <row r="35">
      <c r="A35" s="32">
        <v>34.0</v>
      </c>
      <c r="B35" s="33">
        <v>-0.004726439415640216</v>
      </c>
      <c r="C35" s="33">
        <v>0.017357222844344822</v>
      </c>
    </row>
    <row r="36">
      <c r="A36" s="32">
        <v>35.0</v>
      </c>
      <c r="B36" s="33">
        <v>-0.01034727143869607</v>
      </c>
      <c r="C36" s="33">
        <v>-0.01083946514755918</v>
      </c>
    </row>
    <row r="37">
      <c r="A37" s="32">
        <v>36.0</v>
      </c>
      <c r="B37" s="33">
        <v>0.0045564573544067954</v>
      </c>
      <c r="C37" s="33">
        <v>0.016323576712769405</v>
      </c>
    </row>
    <row r="38">
      <c r="A38" s="32">
        <v>37.0</v>
      </c>
      <c r="B38" s="33">
        <v>-0.0031227821149751867</v>
      </c>
      <c r="C38" s="33">
        <v>-0.020015760441292385</v>
      </c>
    </row>
    <row r="39">
      <c r="A39" s="32">
        <v>38.0</v>
      </c>
      <c r="B39" s="33">
        <v>0.021014492753623326</v>
      </c>
      <c r="C39" s="33">
        <v>0.011800350821240757</v>
      </c>
    </row>
    <row r="40">
      <c r="A40" s="32">
        <v>39.0</v>
      </c>
      <c r="B40" s="33">
        <v>-0.015832263585793704</v>
      </c>
      <c r="C40" s="33">
        <v>-0.024727838258164825</v>
      </c>
    </row>
    <row r="41">
      <c r="A41" s="32">
        <v>40.0</v>
      </c>
      <c r="B41" s="33">
        <v>-0.0035531552018192025</v>
      </c>
      <c r="C41" s="33">
        <v>0.002807236431690452</v>
      </c>
    </row>
    <row r="42">
      <c r="A42" s="32">
        <v>41.0</v>
      </c>
      <c r="B42" s="33">
        <v>-0.014979700405991947</v>
      </c>
      <c r="C42" s="33">
        <v>-0.06625891946992857</v>
      </c>
    </row>
    <row r="43">
      <c r="A43" s="32">
        <v>42.0</v>
      </c>
      <c r="B43" s="33">
        <v>0.02203462584060678</v>
      </c>
      <c r="C43" s="33">
        <v>-0.011017498379779611</v>
      </c>
    </row>
    <row r="44">
      <c r="A44" s="32">
        <v>43.0</v>
      </c>
      <c r="B44" s="33">
        <v>0.021335671489112862</v>
      </c>
      <c r="C44" s="33">
        <v>-0.014826901248581215</v>
      </c>
    </row>
    <row r="45">
      <c r="A45" s="32">
        <v>44.0</v>
      </c>
      <c r="B45" s="33">
        <v>-0.006244554167876726</v>
      </c>
      <c r="C45" s="33">
        <v>-0.01783723522853964</v>
      </c>
    </row>
    <row r="46">
      <c r="A46" s="32">
        <v>45.0</v>
      </c>
      <c r="B46" s="33">
        <v>0.02485488912040479</v>
      </c>
      <c r="C46" s="33">
        <v>0.02624240257418675</v>
      </c>
    </row>
    <row r="47">
      <c r="A47" s="32">
        <v>46.0</v>
      </c>
      <c r="B47" s="33">
        <v>1.488538255431937E-4</v>
      </c>
      <c r="C47" s="33">
        <v>-0.02113809757121865</v>
      </c>
    </row>
    <row r="48">
      <c r="A48" s="32">
        <v>47.0</v>
      </c>
      <c r="B48" s="33">
        <v>-0.031709426347650504</v>
      </c>
      <c r="C48" s="33">
        <v>-0.029349819960595158</v>
      </c>
    </row>
    <row r="49">
      <c r="A49" s="32">
        <v>48.0</v>
      </c>
      <c r="B49" s="33">
        <v>0.00303599826514378</v>
      </c>
      <c r="C49" s="33">
        <v>0.006289738155465852</v>
      </c>
    </row>
    <row r="50">
      <c r="A50" s="32">
        <v>49.0</v>
      </c>
      <c r="B50" s="33">
        <v>-0.002019910546818604</v>
      </c>
      <c r="C50" s="33">
        <v>-1.3671474468512912E-4</v>
      </c>
    </row>
    <row r="51">
      <c r="A51" s="32">
        <v>50.0</v>
      </c>
      <c r="B51" s="33">
        <v>0.03602391629297452</v>
      </c>
      <c r="C51" s="33">
        <v>0.070466852041563</v>
      </c>
    </row>
    <row r="52">
      <c r="A52" s="32">
        <v>51.0</v>
      </c>
      <c r="B52" s="33">
        <v>0.07885824866956948</v>
      </c>
      <c r="C52" s="33">
        <v>-0.00820088540532693</v>
      </c>
    </row>
    <row r="53">
      <c r="A53" s="46"/>
      <c r="B53" s="46"/>
      <c r="C53" s="46"/>
    </row>
    <row r="54">
      <c r="A54" s="46"/>
      <c r="B54" s="46"/>
      <c r="C54" s="46"/>
    </row>
    <row r="55">
      <c r="A55" s="46"/>
      <c r="B55" s="46"/>
      <c r="C55" s="46"/>
    </row>
    <row r="56">
      <c r="A56" s="46"/>
      <c r="B56" s="46"/>
      <c r="C56" s="46"/>
    </row>
    <row r="57">
      <c r="A57" s="46"/>
      <c r="B57" s="46"/>
      <c r="C57" s="46"/>
    </row>
    <row r="58">
      <c r="A58" s="46"/>
      <c r="B58" s="46"/>
      <c r="C58" s="46"/>
    </row>
    <row r="59">
      <c r="A59" s="46"/>
      <c r="B59" s="46"/>
      <c r="C59" s="46"/>
    </row>
    <row r="60">
      <c r="A60" s="46"/>
      <c r="B60" s="46"/>
      <c r="C60" s="46"/>
    </row>
    <row r="61">
      <c r="A61" s="46"/>
      <c r="B61" s="46"/>
      <c r="C61" s="46"/>
    </row>
    <row r="62">
      <c r="A62" s="46"/>
      <c r="B62" s="46"/>
      <c r="C62" s="46"/>
    </row>
    <row r="63">
      <c r="A63" s="46"/>
      <c r="B63" s="46"/>
      <c r="C63" s="46"/>
    </row>
    <row r="64">
      <c r="A64" s="46"/>
      <c r="B64" s="46"/>
      <c r="C64" s="46"/>
    </row>
    <row r="65">
      <c r="A65" s="46"/>
      <c r="B65" s="46"/>
      <c r="C65" s="46"/>
    </row>
    <row r="66">
      <c r="A66" s="46"/>
      <c r="B66" s="46"/>
      <c r="C66" s="46"/>
    </row>
    <row r="67">
      <c r="A67" s="46"/>
      <c r="B67" s="46"/>
      <c r="C67" s="46"/>
    </row>
    <row r="68">
      <c r="A68" s="46"/>
      <c r="B68" s="46"/>
      <c r="C68" s="46"/>
    </row>
    <row r="69">
      <c r="A69" s="46"/>
      <c r="B69" s="46"/>
      <c r="C69" s="46"/>
    </row>
    <row r="70">
      <c r="A70" s="46"/>
      <c r="B70" s="46"/>
      <c r="C70" s="46"/>
    </row>
    <row r="71">
      <c r="A71" s="46"/>
      <c r="B71" s="46"/>
      <c r="C71" s="46"/>
    </row>
    <row r="72">
      <c r="A72" s="46"/>
      <c r="B72" s="46"/>
      <c r="C72" s="46"/>
    </row>
    <row r="73">
      <c r="A73" s="46"/>
      <c r="B73" s="46"/>
      <c r="C73" s="46"/>
    </row>
    <row r="74">
      <c r="A74" s="46"/>
      <c r="B74" s="46"/>
      <c r="C74" s="46"/>
    </row>
    <row r="75">
      <c r="A75" s="46"/>
      <c r="B75" s="46"/>
      <c r="C75" s="46"/>
    </row>
    <row r="76">
      <c r="A76" s="46"/>
      <c r="B76" s="46"/>
      <c r="C76" s="46"/>
    </row>
    <row r="77">
      <c r="A77" s="46"/>
      <c r="B77" s="46"/>
      <c r="C77" s="46"/>
    </row>
    <row r="78">
      <c r="A78" s="46"/>
      <c r="B78" s="46"/>
      <c r="C78" s="46"/>
    </row>
    <row r="79">
      <c r="A79" s="46"/>
      <c r="B79" s="46"/>
      <c r="C79" s="46"/>
    </row>
    <row r="80">
      <c r="A80" s="46"/>
      <c r="B80" s="46"/>
      <c r="C80" s="46"/>
    </row>
    <row r="81">
      <c r="A81" s="46"/>
      <c r="B81" s="46"/>
      <c r="C81" s="46"/>
    </row>
    <row r="82">
      <c r="A82" s="46"/>
      <c r="B82" s="46"/>
      <c r="C82" s="46"/>
    </row>
    <row r="83">
      <c r="A83" s="46"/>
      <c r="B83" s="46"/>
      <c r="C83" s="46"/>
    </row>
    <row r="84">
      <c r="A84" s="46"/>
      <c r="B84" s="46"/>
      <c r="C84" s="46"/>
    </row>
    <row r="85">
      <c r="A85" s="46"/>
      <c r="B85" s="46"/>
      <c r="C85" s="46"/>
    </row>
    <row r="86">
      <c r="A86" s="46"/>
      <c r="B86" s="46"/>
      <c r="C86" s="46"/>
    </row>
    <row r="87">
      <c r="A87" s="46"/>
      <c r="B87" s="46"/>
      <c r="C87" s="46"/>
    </row>
    <row r="88">
      <c r="A88" s="46"/>
      <c r="B88" s="46"/>
      <c r="C88" s="46"/>
    </row>
    <row r="89">
      <c r="A89" s="46"/>
      <c r="B89" s="46"/>
      <c r="C89" s="46"/>
    </row>
    <row r="90">
      <c r="A90" s="46"/>
      <c r="B90" s="46"/>
      <c r="C90" s="46"/>
    </row>
    <row r="91">
      <c r="A91" s="46"/>
      <c r="B91" s="46"/>
      <c r="C91" s="46"/>
    </row>
    <row r="92">
      <c r="A92" s="46"/>
      <c r="B92" s="46"/>
      <c r="C92" s="46"/>
    </row>
    <row r="93">
      <c r="A93" s="46"/>
      <c r="B93" s="46"/>
      <c r="C93" s="46"/>
    </row>
    <row r="94">
      <c r="A94" s="46"/>
      <c r="B94" s="46"/>
      <c r="C94" s="46"/>
    </row>
    <row r="95">
      <c r="A95" s="46"/>
      <c r="B95" s="46"/>
      <c r="C95" s="46"/>
    </row>
    <row r="96">
      <c r="A96" s="46"/>
      <c r="B96" s="46"/>
      <c r="C96" s="46"/>
    </row>
    <row r="97">
      <c r="A97" s="46"/>
      <c r="B97" s="46"/>
      <c r="C97" s="46"/>
    </row>
    <row r="98">
      <c r="A98" s="46"/>
      <c r="B98" s="46"/>
      <c r="C98" s="46"/>
    </row>
    <row r="99">
      <c r="A99" s="46"/>
      <c r="B99" s="46"/>
      <c r="C99" s="46"/>
    </row>
    <row r="100">
      <c r="A100" s="46"/>
      <c r="B100" s="46"/>
      <c r="C100" s="46"/>
    </row>
    <row r="101">
      <c r="A101" s="46"/>
      <c r="B101" s="46"/>
      <c r="C101" s="46"/>
    </row>
    <row r="102">
      <c r="A102" s="46"/>
      <c r="B102" s="46"/>
      <c r="C102" s="46"/>
    </row>
    <row r="103">
      <c r="A103" s="46"/>
      <c r="B103" s="46"/>
      <c r="C103" s="46"/>
    </row>
    <row r="104">
      <c r="A104" s="46"/>
      <c r="B104" s="46"/>
      <c r="C104" s="46"/>
    </row>
    <row r="105">
      <c r="A105" s="46"/>
      <c r="B105" s="46"/>
      <c r="C105" s="46"/>
    </row>
    <row r="106">
      <c r="A106" s="46"/>
      <c r="B106" s="46"/>
      <c r="C106" s="46"/>
    </row>
    <row r="107">
      <c r="A107" s="46"/>
      <c r="B107" s="46"/>
      <c r="C107" s="46"/>
    </row>
    <row r="108">
      <c r="A108" s="46"/>
      <c r="B108" s="46"/>
      <c r="C108" s="46"/>
    </row>
    <row r="109">
      <c r="A109" s="46"/>
      <c r="B109" s="46"/>
      <c r="C109" s="46"/>
    </row>
    <row r="110">
      <c r="A110" s="46"/>
      <c r="B110" s="46"/>
      <c r="C110" s="46"/>
    </row>
    <row r="111">
      <c r="A111" s="46"/>
      <c r="B111" s="46"/>
      <c r="C111" s="46"/>
    </row>
    <row r="112">
      <c r="A112" s="46"/>
      <c r="B112" s="46"/>
      <c r="C112" s="46"/>
    </row>
    <row r="113">
      <c r="A113" s="46"/>
      <c r="B113" s="46"/>
      <c r="C113" s="46"/>
    </row>
    <row r="114">
      <c r="A114" s="46"/>
      <c r="B114" s="46"/>
      <c r="C114" s="46"/>
    </row>
    <row r="115">
      <c r="A115" s="46"/>
      <c r="B115" s="46"/>
      <c r="C115" s="46"/>
    </row>
    <row r="116">
      <c r="A116" s="46"/>
      <c r="B116" s="46"/>
      <c r="C116" s="46"/>
    </row>
    <row r="117">
      <c r="A117" s="46"/>
      <c r="B117" s="46"/>
      <c r="C117" s="46"/>
    </row>
    <row r="118">
      <c r="A118" s="46"/>
      <c r="B118" s="46"/>
      <c r="C118" s="46"/>
    </row>
    <row r="119">
      <c r="A119" s="46"/>
      <c r="B119" s="46"/>
      <c r="C119" s="46"/>
    </row>
    <row r="120">
      <c r="A120" s="46"/>
      <c r="B120" s="46"/>
      <c r="C120" s="46"/>
    </row>
    <row r="121">
      <c r="A121" s="46"/>
      <c r="B121" s="46"/>
      <c r="C121" s="46"/>
    </row>
    <row r="122">
      <c r="A122" s="46"/>
      <c r="B122" s="46"/>
      <c r="C122" s="46"/>
    </row>
    <row r="123">
      <c r="A123" s="46"/>
      <c r="B123" s="46"/>
      <c r="C123" s="46"/>
    </row>
    <row r="124">
      <c r="A124" s="46"/>
      <c r="B124" s="46"/>
      <c r="C124" s="46"/>
    </row>
    <row r="125">
      <c r="A125" s="46"/>
      <c r="B125" s="46"/>
      <c r="C125" s="46"/>
    </row>
    <row r="126">
      <c r="A126" s="46"/>
      <c r="B126" s="46"/>
      <c r="C126" s="46"/>
    </row>
    <row r="127">
      <c r="A127" s="46"/>
      <c r="B127" s="46"/>
      <c r="C127" s="46"/>
    </row>
    <row r="128">
      <c r="A128" s="46"/>
      <c r="B128" s="46"/>
      <c r="C128" s="46"/>
    </row>
    <row r="129">
      <c r="A129" s="46"/>
      <c r="B129" s="46"/>
      <c r="C129" s="46"/>
    </row>
    <row r="130">
      <c r="A130" s="46"/>
      <c r="B130" s="46"/>
      <c r="C130" s="46"/>
    </row>
    <row r="131">
      <c r="A131" s="46"/>
      <c r="B131" s="46"/>
      <c r="C131" s="46"/>
    </row>
    <row r="132">
      <c r="A132" s="46"/>
      <c r="B132" s="46"/>
      <c r="C132" s="46"/>
    </row>
    <row r="133">
      <c r="A133" s="46"/>
      <c r="B133" s="46"/>
      <c r="C133" s="46"/>
    </row>
    <row r="134">
      <c r="A134" s="46"/>
      <c r="B134" s="46"/>
      <c r="C134" s="46"/>
    </row>
    <row r="135">
      <c r="A135" s="46"/>
      <c r="B135" s="46"/>
      <c r="C135" s="46"/>
    </row>
    <row r="136">
      <c r="A136" s="46"/>
      <c r="B136" s="46"/>
      <c r="C136" s="46"/>
    </row>
    <row r="137">
      <c r="A137" s="46"/>
      <c r="B137" s="46"/>
      <c r="C137" s="46"/>
    </row>
    <row r="138">
      <c r="A138" s="46"/>
      <c r="B138" s="46"/>
      <c r="C138" s="46"/>
    </row>
    <row r="139">
      <c r="A139" s="46"/>
      <c r="B139" s="46"/>
      <c r="C139" s="46"/>
    </row>
    <row r="140">
      <c r="A140" s="46"/>
      <c r="B140" s="46"/>
      <c r="C140" s="46"/>
    </row>
    <row r="141">
      <c r="A141" s="46"/>
      <c r="B141" s="46"/>
      <c r="C141" s="46"/>
    </row>
    <row r="142">
      <c r="A142" s="46"/>
      <c r="B142" s="46"/>
      <c r="C142" s="46"/>
    </row>
    <row r="143">
      <c r="A143" s="46"/>
      <c r="B143" s="46"/>
      <c r="C143" s="46"/>
    </row>
    <row r="144">
      <c r="A144" s="46"/>
      <c r="B144" s="46"/>
      <c r="C144" s="46"/>
    </row>
    <row r="145">
      <c r="A145" s="46"/>
      <c r="B145" s="46"/>
      <c r="C145" s="46"/>
    </row>
    <row r="146">
      <c r="A146" s="46"/>
      <c r="B146" s="46"/>
      <c r="C146" s="46"/>
    </row>
    <row r="147">
      <c r="A147" s="46"/>
      <c r="B147" s="46"/>
      <c r="C147" s="46"/>
    </row>
    <row r="148">
      <c r="A148" s="46"/>
      <c r="B148" s="46"/>
      <c r="C148" s="46"/>
    </row>
    <row r="149">
      <c r="A149" s="46"/>
      <c r="B149" s="46"/>
      <c r="C149" s="46"/>
    </row>
    <row r="150">
      <c r="A150" s="46"/>
      <c r="B150" s="46"/>
      <c r="C150" s="46"/>
    </row>
    <row r="151">
      <c r="A151" s="46"/>
      <c r="B151" s="46"/>
      <c r="C151" s="46"/>
    </row>
    <row r="152">
      <c r="A152" s="46"/>
      <c r="B152" s="46"/>
      <c r="C152" s="46"/>
    </row>
    <row r="153">
      <c r="A153" s="46"/>
      <c r="B153" s="46"/>
      <c r="C153" s="46"/>
    </row>
    <row r="154">
      <c r="A154" s="46"/>
      <c r="B154" s="46"/>
      <c r="C154" s="46"/>
    </row>
    <row r="155">
      <c r="A155" s="46"/>
      <c r="B155" s="46"/>
      <c r="C155" s="46"/>
    </row>
    <row r="156">
      <c r="A156" s="46"/>
      <c r="B156" s="46"/>
      <c r="C156" s="46"/>
    </row>
    <row r="157">
      <c r="A157" s="46"/>
      <c r="B157" s="46"/>
      <c r="C157" s="46"/>
    </row>
    <row r="158">
      <c r="A158" s="46"/>
      <c r="B158" s="46"/>
      <c r="C158" s="46"/>
    </row>
    <row r="159">
      <c r="A159" s="46"/>
      <c r="B159" s="46"/>
      <c r="C159" s="46"/>
    </row>
    <row r="160">
      <c r="A160" s="46"/>
      <c r="B160" s="46"/>
      <c r="C160" s="46"/>
    </row>
    <row r="161">
      <c r="A161" s="46"/>
      <c r="B161" s="46"/>
      <c r="C161" s="46"/>
    </row>
    <row r="162">
      <c r="A162" s="46"/>
      <c r="B162" s="46"/>
      <c r="C162" s="46"/>
    </row>
    <row r="163">
      <c r="A163" s="46"/>
      <c r="B163" s="46"/>
      <c r="C163" s="46"/>
    </row>
    <row r="164">
      <c r="A164" s="46"/>
      <c r="B164" s="46"/>
      <c r="C164" s="46"/>
    </row>
    <row r="165">
      <c r="A165" s="46"/>
      <c r="B165" s="46"/>
      <c r="C165" s="46"/>
    </row>
    <row r="166">
      <c r="A166" s="46"/>
      <c r="B166" s="46"/>
      <c r="C166" s="46"/>
    </row>
    <row r="167">
      <c r="A167" s="46"/>
      <c r="B167" s="46"/>
      <c r="C167" s="46"/>
    </row>
    <row r="168">
      <c r="A168" s="46"/>
      <c r="B168" s="46"/>
      <c r="C168" s="46"/>
    </row>
    <row r="169">
      <c r="A169" s="46"/>
      <c r="B169" s="46"/>
      <c r="C169" s="46"/>
    </row>
    <row r="170">
      <c r="A170" s="46"/>
      <c r="B170" s="46"/>
      <c r="C170" s="46"/>
    </row>
    <row r="171">
      <c r="A171" s="46"/>
      <c r="B171" s="46"/>
      <c r="C171" s="46"/>
    </row>
    <row r="172">
      <c r="A172" s="46"/>
      <c r="B172" s="46"/>
      <c r="C172" s="46"/>
    </row>
    <row r="173">
      <c r="A173" s="46"/>
      <c r="B173" s="46"/>
      <c r="C173" s="46"/>
    </row>
    <row r="174">
      <c r="A174" s="46"/>
      <c r="B174" s="46"/>
      <c r="C174" s="46"/>
    </row>
    <row r="175">
      <c r="A175" s="46"/>
      <c r="B175" s="46"/>
      <c r="C175" s="46"/>
    </row>
    <row r="176">
      <c r="A176" s="46"/>
      <c r="B176" s="46"/>
      <c r="C176" s="46"/>
    </row>
    <row r="177">
      <c r="A177" s="46"/>
      <c r="B177" s="46"/>
      <c r="C177" s="46"/>
    </row>
    <row r="178">
      <c r="A178" s="46"/>
      <c r="B178" s="46"/>
      <c r="C178" s="46"/>
    </row>
    <row r="179">
      <c r="A179" s="46"/>
      <c r="B179" s="46"/>
      <c r="C179" s="46"/>
    </row>
    <row r="180">
      <c r="A180" s="46"/>
      <c r="B180" s="46"/>
      <c r="C180" s="46"/>
    </row>
    <row r="181">
      <c r="A181" s="46"/>
      <c r="B181" s="46"/>
      <c r="C181" s="46"/>
    </row>
    <row r="182">
      <c r="A182" s="46"/>
      <c r="B182" s="46"/>
      <c r="C182" s="46"/>
    </row>
    <row r="183">
      <c r="A183" s="46"/>
      <c r="B183" s="46"/>
      <c r="C183" s="46"/>
    </row>
    <row r="184">
      <c r="A184" s="46"/>
      <c r="B184" s="46"/>
      <c r="C184" s="46"/>
    </row>
    <row r="185">
      <c r="A185" s="46"/>
      <c r="B185" s="46"/>
      <c r="C185" s="46"/>
    </row>
    <row r="186">
      <c r="A186" s="46"/>
      <c r="B186" s="46"/>
      <c r="C186" s="46"/>
    </row>
    <row r="187">
      <c r="A187" s="46"/>
      <c r="B187" s="46"/>
      <c r="C187" s="46"/>
    </row>
    <row r="188">
      <c r="A188" s="46"/>
      <c r="B188" s="46"/>
      <c r="C188" s="46"/>
    </row>
    <row r="189">
      <c r="A189" s="46"/>
      <c r="B189" s="46"/>
      <c r="C189" s="46"/>
    </row>
    <row r="190">
      <c r="A190" s="46"/>
      <c r="B190" s="46"/>
      <c r="C190" s="46"/>
    </row>
    <row r="191">
      <c r="A191" s="46"/>
      <c r="B191" s="46"/>
      <c r="C191" s="46"/>
    </row>
    <row r="192">
      <c r="A192" s="46"/>
      <c r="B192" s="46"/>
      <c r="C192" s="46"/>
    </row>
    <row r="193">
      <c r="A193" s="46"/>
      <c r="B193" s="46"/>
      <c r="C193" s="46"/>
    </row>
    <row r="194">
      <c r="A194" s="46"/>
      <c r="B194" s="46"/>
      <c r="C194" s="46"/>
    </row>
    <row r="195">
      <c r="A195" s="46"/>
      <c r="B195" s="46"/>
      <c r="C195" s="46"/>
    </row>
    <row r="196">
      <c r="A196" s="46"/>
      <c r="B196" s="46"/>
      <c r="C196" s="46"/>
    </row>
    <row r="197">
      <c r="A197" s="46"/>
      <c r="B197" s="46"/>
      <c r="C197" s="46"/>
    </row>
    <row r="198">
      <c r="A198" s="46"/>
      <c r="B198" s="46"/>
      <c r="C198" s="46"/>
    </row>
    <row r="199">
      <c r="A199" s="46"/>
      <c r="B199" s="46"/>
      <c r="C199" s="46"/>
    </row>
    <row r="200">
      <c r="A200" s="46"/>
      <c r="B200" s="46"/>
      <c r="C200" s="46"/>
    </row>
    <row r="201">
      <c r="A201" s="46"/>
      <c r="B201" s="46"/>
      <c r="C201" s="46"/>
    </row>
    <row r="202">
      <c r="A202" s="46"/>
      <c r="B202" s="46"/>
      <c r="C202" s="46"/>
    </row>
    <row r="203">
      <c r="A203" s="46"/>
      <c r="B203" s="46"/>
      <c r="C203" s="46"/>
    </row>
    <row r="204">
      <c r="A204" s="46"/>
      <c r="B204" s="46"/>
      <c r="C204" s="46"/>
    </row>
    <row r="205">
      <c r="A205" s="46"/>
      <c r="B205" s="46"/>
      <c r="C205" s="46"/>
    </row>
    <row r="206">
      <c r="A206" s="46"/>
      <c r="B206" s="46"/>
      <c r="C206" s="46"/>
    </row>
    <row r="207">
      <c r="A207" s="46"/>
      <c r="B207" s="46"/>
      <c r="C207" s="46"/>
    </row>
    <row r="208">
      <c r="A208" s="46"/>
      <c r="B208" s="46"/>
      <c r="C208" s="46"/>
    </row>
    <row r="209">
      <c r="A209" s="46"/>
      <c r="B209" s="46"/>
      <c r="C209" s="46"/>
    </row>
    <row r="210">
      <c r="A210" s="46"/>
      <c r="B210" s="46"/>
      <c r="C210" s="46"/>
    </row>
    <row r="211">
      <c r="A211" s="46"/>
      <c r="B211" s="46"/>
      <c r="C211" s="46"/>
    </row>
    <row r="212">
      <c r="A212" s="46"/>
      <c r="B212" s="46"/>
      <c r="C212" s="46"/>
    </row>
    <row r="213">
      <c r="A213" s="46"/>
      <c r="B213" s="46"/>
      <c r="C213" s="46"/>
    </row>
    <row r="214">
      <c r="A214" s="46"/>
      <c r="B214" s="46"/>
      <c r="C214" s="46"/>
    </row>
    <row r="215">
      <c r="A215" s="46"/>
      <c r="B215" s="46"/>
      <c r="C215" s="46"/>
    </row>
    <row r="216">
      <c r="A216" s="46"/>
      <c r="B216" s="46"/>
      <c r="C216" s="46"/>
    </row>
    <row r="217">
      <c r="A217" s="46"/>
      <c r="B217" s="46"/>
      <c r="C217" s="46"/>
    </row>
    <row r="218">
      <c r="A218" s="46"/>
      <c r="B218" s="46"/>
      <c r="C218" s="46"/>
    </row>
    <row r="219">
      <c r="A219" s="46"/>
      <c r="B219" s="46"/>
      <c r="C219" s="46"/>
    </row>
    <row r="220">
      <c r="A220" s="46"/>
      <c r="B220" s="46"/>
      <c r="C220" s="46"/>
    </row>
    <row r="221">
      <c r="A221" s="46"/>
      <c r="B221" s="46"/>
      <c r="C221" s="46"/>
    </row>
    <row r="222">
      <c r="A222" s="46"/>
      <c r="B222" s="46"/>
      <c r="C222" s="46"/>
    </row>
    <row r="223">
      <c r="A223" s="46"/>
      <c r="B223" s="46"/>
      <c r="C223" s="46"/>
    </row>
    <row r="224">
      <c r="A224" s="46"/>
      <c r="B224" s="46"/>
      <c r="C224" s="46"/>
    </row>
    <row r="225">
      <c r="A225" s="46"/>
      <c r="B225" s="46"/>
      <c r="C225" s="46"/>
    </row>
    <row r="226">
      <c r="A226" s="46"/>
      <c r="B226" s="46"/>
      <c r="C226" s="46"/>
    </row>
    <row r="227">
      <c r="A227" s="46"/>
      <c r="B227" s="46"/>
      <c r="C227" s="46"/>
    </row>
    <row r="228">
      <c r="A228" s="46"/>
      <c r="B228" s="46"/>
      <c r="C228" s="46"/>
    </row>
    <row r="229">
      <c r="A229" s="46"/>
      <c r="B229" s="46"/>
      <c r="C229" s="46"/>
    </row>
    <row r="230">
      <c r="A230" s="46"/>
      <c r="B230" s="46"/>
      <c r="C230" s="46"/>
    </row>
    <row r="231">
      <c r="A231" s="46"/>
      <c r="B231" s="46"/>
      <c r="C231" s="46"/>
    </row>
    <row r="232">
      <c r="A232" s="46"/>
      <c r="B232" s="46"/>
      <c r="C232" s="46"/>
    </row>
    <row r="233">
      <c r="A233" s="46"/>
      <c r="B233" s="46"/>
      <c r="C233" s="46"/>
    </row>
    <row r="234">
      <c r="A234" s="46"/>
      <c r="B234" s="46"/>
      <c r="C234" s="46"/>
    </row>
    <row r="235">
      <c r="A235" s="46"/>
      <c r="B235" s="46"/>
      <c r="C235" s="46"/>
    </row>
    <row r="236">
      <c r="A236" s="46"/>
      <c r="B236" s="46"/>
      <c r="C236" s="46"/>
    </row>
    <row r="237">
      <c r="A237" s="46"/>
      <c r="B237" s="46"/>
      <c r="C237" s="46"/>
    </row>
    <row r="238">
      <c r="A238" s="46"/>
      <c r="B238" s="46"/>
      <c r="C238" s="46"/>
    </row>
    <row r="239">
      <c r="A239" s="46"/>
      <c r="B239" s="46"/>
      <c r="C239" s="46"/>
    </row>
    <row r="240">
      <c r="A240" s="46"/>
      <c r="B240" s="46"/>
      <c r="C240" s="46"/>
    </row>
    <row r="241">
      <c r="A241" s="46"/>
      <c r="B241" s="46"/>
      <c r="C241" s="46"/>
    </row>
    <row r="242">
      <c r="A242" s="46"/>
      <c r="B242" s="46"/>
      <c r="C242" s="46"/>
    </row>
    <row r="243">
      <c r="A243" s="46"/>
      <c r="B243" s="46"/>
      <c r="C243" s="46"/>
    </row>
    <row r="244">
      <c r="A244" s="46"/>
      <c r="B244" s="46"/>
      <c r="C244" s="46"/>
    </row>
    <row r="245">
      <c r="A245" s="46"/>
      <c r="B245" s="46"/>
      <c r="C245" s="46"/>
    </row>
    <row r="246">
      <c r="A246" s="46"/>
      <c r="B246" s="46"/>
      <c r="C246" s="46"/>
    </row>
    <row r="247">
      <c r="A247" s="46"/>
      <c r="B247" s="46"/>
      <c r="C247" s="46"/>
    </row>
    <row r="248">
      <c r="A248" s="46"/>
      <c r="B248" s="46"/>
      <c r="C248" s="46"/>
    </row>
    <row r="249">
      <c r="A249" s="46"/>
      <c r="B249" s="46"/>
      <c r="C249" s="46"/>
    </row>
    <row r="250">
      <c r="A250" s="46"/>
      <c r="B250" s="46"/>
      <c r="C250" s="46"/>
    </row>
    <row r="251">
      <c r="A251" s="46"/>
      <c r="B251" s="46"/>
      <c r="C251" s="46"/>
    </row>
    <row r="252">
      <c r="A252" s="46"/>
      <c r="B252" s="46"/>
      <c r="C252" s="46"/>
    </row>
    <row r="253">
      <c r="A253" s="46"/>
      <c r="B253" s="46"/>
      <c r="C253" s="46"/>
    </row>
    <row r="254">
      <c r="A254" s="46"/>
      <c r="B254" s="46"/>
      <c r="C254" s="46"/>
    </row>
    <row r="255">
      <c r="A255" s="46"/>
      <c r="B255" s="46"/>
      <c r="C255" s="46"/>
    </row>
    <row r="256">
      <c r="A256" s="46"/>
      <c r="B256" s="46"/>
      <c r="C256" s="46"/>
    </row>
    <row r="257">
      <c r="A257" s="46"/>
      <c r="B257" s="46"/>
      <c r="C257" s="46"/>
    </row>
    <row r="258">
      <c r="A258" s="46"/>
      <c r="B258" s="46"/>
      <c r="C258" s="46"/>
    </row>
    <row r="259">
      <c r="A259" s="46"/>
      <c r="B259" s="46"/>
      <c r="C259" s="46"/>
    </row>
    <row r="260">
      <c r="A260" s="46"/>
      <c r="B260" s="46"/>
      <c r="C260" s="46"/>
    </row>
    <row r="261">
      <c r="A261" s="46"/>
      <c r="B261" s="46"/>
      <c r="C261" s="46"/>
    </row>
    <row r="262">
      <c r="A262" s="46"/>
      <c r="B262" s="46"/>
      <c r="C262" s="46"/>
    </row>
    <row r="263">
      <c r="A263" s="46"/>
      <c r="B263" s="46"/>
      <c r="C263" s="46"/>
    </row>
    <row r="264">
      <c r="A264" s="46"/>
      <c r="B264" s="46"/>
      <c r="C264" s="46"/>
    </row>
    <row r="265">
      <c r="A265" s="46"/>
      <c r="B265" s="46"/>
      <c r="C265" s="46"/>
    </row>
    <row r="266">
      <c r="A266" s="46"/>
      <c r="B266" s="46"/>
      <c r="C266" s="46"/>
    </row>
    <row r="267">
      <c r="A267" s="46"/>
      <c r="B267" s="46"/>
      <c r="C267" s="46"/>
    </row>
    <row r="268">
      <c r="A268" s="46"/>
      <c r="B268" s="46"/>
      <c r="C268" s="46"/>
    </row>
    <row r="269">
      <c r="A269" s="46"/>
      <c r="B269" s="46"/>
      <c r="C269" s="46"/>
    </row>
    <row r="270">
      <c r="A270" s="46"/>
      <c r="B270" s="46"/>
      <c r="C270" s="46"/>
    </row>
    <row r="271">
      <c r="A271" s="46"/>
      <c r="B271" s="46"/>
      <c r="C271" s="46"/>
    </row>
    <row r="272">
      <c r="A272" s="46"/>
      <c r="B272" s="46"/>
      <c r="C272" s="46"/>
    </row>
    <row r="273">
      <c r="A273" s="46"/>
      <c r="B273" s="46"/>
      <c r="C273" s="46"/>
    </row>
    <row r="274">
      <c r="A274" s="46"/>
      <c r="B274" s="46"/>
      <c r="C274" s="46"/>
    </row>
    <row r="275">
      <c r="A275" s="46"/>
      <c r="B275" s="46"/>
      <c r="C275" s="46"/>
    </row>
    <row r="276">
      <c r="A276" s="46"/>
      <c r="B276" s="46"/>
      <c r="C276" s="46"/>
    </row>
    <row r="277">
      <c r="A277" s="46"/>
      <c r="B277" s="46"/>
      <c r="C277" s="46"/>
    </row>
    <row r="278">
      <c r="A278" s="46"/>
      <c r="B278" s="46"/>
      <c r="C278" s="46"/>
    </row>
    <row r="279">
      <c r="A279" s="46"/>
      <c r="B279" s="46"/>
      <c r="C279" s="46"/>
    </row>
    <row r="280">
      <c r="A280" s="46"/>
      <c r="B280" s="46"/>
      <c r="C280" s="46"/>
    </row>
    <row r="281">
      <c r="A281" s="46"/>
      <c r="B281" s="46"/>
      <c r="C281" s="46"/>
    </row>
    <row r="282">
      <c r="A282" s="46"/>
      <c r="B282" s="46"/>
      <c r="C282" s="46"/>
    </row>
    <row r="283">
      <c r="A283" s="46"/>
      <c r="B283" s="46"/>
      <c r="C283" s="46"/>
    </row>
    <row r="284">
      <c r="A284" s="46"/>
      <c r="B284" s="46"/>
      <c r="C284" s="46"/>
    </row>
    <row r="285">
      <c r="A285" s="46"/>
      <c r="B285" s="46"/>
      <c r="C285" s="46"/>
    </row>
    <row r="286">
      <c r="A286" s="46"/>
      <c r="B286" s="46"/>
      <c r="C286" s="46"/>
    </row>
    <row r="287">
      <c r="A287" s="46"/>
      <c r="B287" s="46"/>
      <c r="C287" s="46"/>
    </row>
    <row r="288">
      <c r="A288" s="46"/>
      <c r="B288" s="46"/>
      <c r="C288" s="46"/>
    </row>
    <row r="289">
      <c r="A289" s="46"/>
      <c r="B289" s="46"/>
      <c r="C289" s="46"/>
    </row>
    <row r="290">
      <c r="A290" s="46"/>
      <c r="B290" s="46"/>
      <c r="C290" s="46"/>
    </row>
    <row r="291">
      <c r="A291" s="46"/>
      <c r="B291" s="46"/>
      <c r="C291" s="46"/>
    </row>
    <row r="292">
      <c r="A292" s="46"/>
      <c r="B292" s="46"/>
      <c r="C292" s="46"/>
    </row>
    <row r="293">
      <c r="A293" s="46"/>
      <c r="B293" s="46"/>
      <c r="C293" s="46"/>
    </row>
    <row r="294">
      <c r="A294" s="46"/>
      <c r="B294" s="46"/>
      <c r="C294" s="46"/>
    </row>
    <row r="295">
      <c r="A295" s="46"/>
      <c r="B295" s="46"/>
      <c r="C295" s="46"/>
    </row>
    <row r="296">
      <c r="A296" s="46"/>
      <c r="B296" s="46"/>
      <c r="C296" s="46"/>
    </row>
    <row r="297">
      <c r="A297" s="46"/>
      <c r="B297" s="46"/>
      <c r="C297" s="46"/>
    </row>
    <row r="298">
      <c r="A298" s="46"/>
      <c r="B298" s="46"/>
      <c r="C298" s="46"/>
    </row>
    <row r="299">
      <c r="A299" s="46"/>
      <c r="B299" s="46"/>
      <c r="C299" s="46"/>
    </row>
    <row r="300">
      <c r="A300" s="46"/>
      <c r="B300" s="46"/>
      <c r="C300" s="46"/>
    </row>
    <row r="301">
      <c r="A301" s="46"/>
      <c r="B301" s="46"/>
      <c r="C301" s="46"/>
    </row>
    <row r="302">
      <c r="A302" s="46"/>
      <c r="B302" s="46"/>
      <c r="C302" s="46"/>
    </row>
    <row r="303">
      <c r="A303" s="46"/>
      <c r="B303" s="46"/>
      <c r="C303" s="46"/>
    </row>
    <row r="304">
      <c r="A304" s="46"/>
      <c r="B304" s="46"/>
      <c r="C304" s="46"/>
    </row>
    <row r="305">
      <c r="A305" s="46"/>
      <c r="B305" s="46"/>
      <c r="C305" s="46"/>
    </row>
    <row r="306">
      <c r="A306" s="46"/>
      <c r="B306" s="46"/>
      <c r="C306" s="46"/>
    </row>
    <row r="307">
      <c r="A307" s="46"/>
      <c r="B307" s="46"/>
      <c r="C307" s="46"/>
    </row>
    <row r="308">
      <c r="A308" s="46"/>
      <c r="B308" s="46"/>
      <c r="C308" s="46"/>
    </row>
    <row r="309">
      <c r="A309" s="46"/>
      <c r="B309" s="46"/>
      <c r="C309" s="46"/>
    </row>
    <row r="310">
      <c r="A310" s="46"/>
      <c r="B310" s="46"/>
      <c r="C310" s="46"/>
    </row>
    <row r="311">
      <c r="A311" s="46"/>
      <c r="B311" s="46"/>
      <c r="C311" s="46"/>
    </row>
    <row r="312">
      <c r="A312" s="46"/>
      <c r="B312" s="46"/>
      <c r="C312" s="46"/>
    </row>
    <row r="313">
      <c r="A313" s="46"/>
      <c r="B313" s="46"/>
      <c r="C313" s="46"/>
    </row>
    <row r="314">
      <c r="A314" s="46"/>
      <c r="B314" s="46"/>
      <c r="C314" s="46"/>
    </row>
    <row r="315">
      <c r="A315" s="46"/>
      <c r="B315" s="46"/>
      <c r="C315" s="46"/>
    </row>
    <row r="316">
      <c r="A316" s="46"/>
      <c r="B316" s="46"/>
      <c r="C316" s="46"/>
    </row>
    <row r="317">
      <c r="A317" s="46"/>
      <c r="B317" s="46"/>
      <c r="C317" s="46"/>
    </row>
    <row r="318">
      <c r="A318" s="46"/>
      <c r="B318" s="46"/>
      <c r="C318" s="46"/>
    </row>
    <row r="319">
      <c r="A319" s="46"/>
      <c r="B319" s="46"/>
      <c r="C319" s="46"/>
    </row>
    <row r="320">
      <c r="A320" s="46"/>
      <c r="B320" s="46"/>
      <c r="C320" s="46"/>
    </row>
    <row r="321">
      <c r="A321" s="46"/>
      <c r="B321" s="46"/>
      <c r="C321" s="46"/>
    </row>
    <row r="322">
      <c r="A322" s="46"/>
      <c r="B322" s="46"/>
      <c r="C322" s="46"/>
    </row>
    <row r="323">
      <c r="A323" s="46"/>
      <c r="B323" s="46"/>
      <c r="C323" s="46"/>
    </row>
    <row r="324">
      <c r="A324" s="46"/>
      <c r="B324" s="46"/>
      <c r="C324" s="46"/>
    </row>
    <row r="325">
      <c r="A325" s="46"/>
      <c r="B325" s="46"/>
      <c r="C325" s="46"/>
    </row>
    <row r="326">
      <c r="A326" s="46"/>
      <c r="B326" s="46"/>
      <c r="C326" s="46"/>
    </row>
    <row r="327">
      <c r="A327" s="46"/>
      <c r="B327" s="46"/>
      <c r="C327" s="46"/>
    </row>
    <row r="328">
      <c r="A328" s="46"/>
      <c r="B328" s="46"/>
      <c r="C328" s="46"/>
    </row>
    <row r="329">
      <c r="A329" s="46"/>
      <c r="B329" s="46"/>
      <c r="C329" s="46"/>
    </row>
    <row r="330">
      <c r="A330" s="46"/>
      <c r="B330" s="46"/>
      <c r="C330" s="46"/>
    </row>
    <row r="331">
      <c r="A331" s="46"/>
      <c r="B331" s="46"/>
      <c r="C331" s="46"/>
    </row>
    <row r="332">
      <c r="A332" s="46"/>
      <c r="B332" s="46"/>
      <c r="C332" s="46"/>
    </row>
    <row r="333">
      <c r="A333" s="46"/>
      <c r="B333" s="46"/>
      <c r="C333" s="46"/>
    </row>
    <row r="334">
      <c r="A334" s="46"/>
      <c r="B334" s="46"/>
      <c r="C334" s="46"/>
    </row>
    <row r="335">
      <c r="A335" s="46"/>
      <c r="B335" s="46"/>
      <c r="C335" s="46"/>
    </row>
    <row r="336">
      <c r="A336" s="46"/>
      <c r="B336" s="46"/>
      <c r="C336" s="46"/>
    </row>
    <row r="337">
      <c r="A337" s="46"/>
      <c r="B337" s="46"/>
      <c r="C337" s="46"/>
    </row>
    <row r="338">
      <c r="A338" s="46"/>
      <c r="B338" s="46"/>
      <c r="C338" s="46"/>
    </row>
    <row r="339">
      <c r="A339" s="46"/>
      <c r="B339" s="46"/>
      <c r="C339" s="46"/>
    </row>
    <row r="340">
      <c r="A340" s="46"/>
      <c r="B340" s="46"/>
      <c r="C340" s="46"/>
    </row>
    <row r="341">
      <c r="A341" s="46"/>
      <c r="B341" s="46"/>
      <c r="C341" s="46"/>
    </row>
    <row r="342">
      <c r="A342" s="46"/>
      <c r="B342" s="46"/>
      <c r="C342" s="46"/>
    </row>
    <row r="343">
      <c r="A343" s="46"/>
      <c r="B343" s="46"/>
      <c r="C343" s="46"/>
    </row>
    <row r="344">
      <c r="A344" s="46"/>
      <c r="B344" s="46"/>
      <c r="C344" s="46"/>
    </row>
    <row r="345">
      <c r="A345" s="46"/>
      <c r="B345" s="46"/>
      <c r="C345" s="46"/>
    </row>
    <row r="346">
      <c r="A346" s="46"/>
      <c r="B346" s="46"/>
      <c r="C346" s="46"/>
    </row>
    <row r="347">
      <c r="A347" s="46"/>
      <c r="B347" s="46"/>
      <c r="C347" s="46"/>
    </row>
    <row r="348">
      <c r="A348" s="46"/>
      <c r="B348" s="46"/>
      <c r="C348" s="46"/>
    </row>
    <row r="349">
      <c r="A349" s="46"/>
      <c r="B349" s="46"/>
      <c r="C349" s="46"/>
    </row>
    <row r="350">
      <c r="A350" s="46"/>
      <c r="B350" s="46"/>
      <c r="C350" s="46"/>
    </row>
    <row r="351">
      <c r="A351" s="46"/>
      <c r="B351" s="46"/>
      <c r="C351" s="46"/>
    </row>
    <row r="352">
      <c r="A352" s="46"/>
      <c r="B352" s="46"/>
      <c r="C352" s="46"/>
    </row>
    <row r="353">
      <c r="A353" s="46"/>
      <c r="B353" s="46"/>
      <c r="C353" s="46"/>
    </row>
    <row r="354">
      <c r="A354" s="46"/>
      <c r="B354" s="46"/>
      <c r="C354" s="46"/>
    </row>
    <row r="355">
      <c r="A355" s="46"/>
      <c r="B355" s="46"/>
      <c r="C355" s="46"/>
    </row>
    <row r="356">
      <c r="A356" s="46"/>
      <c r="B356" s="46"/>
      <c r="C356" s="46"/>
    </row>
    <row r="357">
      <c r="A357" s="46"/>
      <c r="B357" s="46"/>
      <c r="C357" s="46"/>
    </row>
    <row r="358">
      <c r="A358" s="46"/>
      <c r="B358" s="46"/>
      <c r="C358" s="46"/>
    </row>
    <row r="359">
      <c r="A359" s="46"/>
      <c r="B359" s="46"/>
      <c r="C359" s="46"/>
    </row>
    <row r="360">
      <c r="A360" s="46"/>
      <c r="B360" s="46"/>
      <c r="C360" s="46"/>
    </row>
    <row r="361">
      <c r="A361" s="46"/>
      <c r="B361" s="46"/>
      <c r="C361" s="46"/>
    </row>
    <row r="362">
      <c r="A362" s="46"/>
      <c r="B362" s="46"/>
      <c r="C362" s="46"/>
    </row>
    <row r="363">
      <c r="A363" s="46"/>
      <c r="B363" s="46"/>
      <c r="C363" s="46"/>
    </row>
    <row r="364">
      <c r="A364" s="46"/>
      <c r="B364" s="46"/>
      <c r="C364" s="46"/>
    </row>
    <row r="365">
      <c r="A365" s="46"/>
      <c r="B365" s="46"/>
      <c r="C365" s="46"/>
    </row>
    <row r="366">
      <c r="A366" s="46"/>
      <c r="B366" s="46"/>
      <c r="C366" s="46"/>
    </row>
    <row r="367">
      <c r="A367" s="46"/>
      <c r="B367" s="46"/>
      <c r="C367" s="46"/>
    </row>
    <row r="368">
      <c r="A368" s="46"/>
      <c r="B368" s="46"/>
      <c r="C368" s="46"/>
    </row>
    <row r="369">
      <c r="A369" s="46"/>
      <c r="B369" s="46"/>
      <c r="C369" s="46"/>
    </row>
    <row r="370">
      <c r="A370" s="46"/>
      <c r="B370" s="46"/>
      <c r="C370" s="46"/>
    </row>
    <row r="371">
      <c r="A371" s="46"/>
      <c r="B371" s="46"/>
      <c r="C371" s="46"/>
    </row>
    <row r="372">
      <c r="A372" s="46"/>
      <c r="B372" s="46"/>
      <c r="C372" s="46"/>
    </row>
    <row r="373">
      <c r="A373" s="46"/>
      <c r="B373" s="46"/>
      <c r="C373" s="46"/>
    </row>
    <row r="374">
      <c r="A374" s="46"/>
      <c r="B374" s="46"/>
      <c r="C374" s="46"/>
    </row>
    <row r="375">
      <c r="A375" s="46"/>
      <c r="B375" s="46"/>
      <c r="C375" s="46"/>
    </row>
    <row r="376">
      <c r="A376" s="46"/>
      <c r="B376" s="46"/>
      <c r="C376" s="46"/>
    </row>
    <row r="377">
      <c r="A377" s="46"/>
      <c r="B377" s="46"/>
      <c r="C377" s="46"/>
    </row>
    <row r="378">
      <c r="A378" s="46"/>
      <c r="B378" s="46"/>
      <c r="C378" s="46"/>
    </row>
    <row r="379">
      <c r="A379" s="46"/>
      <c r="B379" s="46"/>
      <c r="C379" s="46"/>
    </row>
    <row r="380">
      <c r="A380" s="46"/>
      <c r="B380" s="46"/>
      <c r="C380" s="46"/>
    </row>
    <row r="381">
      <c r="A381" s="46"/>
      <c r="B381" s="46"/>
      <c r="C381" s="46"/>
    </row>
    <row r="382">
      <c r="A382" s="46"/>
      <c r="B382" s="46"/>
      <c r="C382" s="46"/>
    </row>
    <row r="383">
      <c r="A383" s="46"/>
      <c r="B383" s="46"/>
      <c r="C383" s="46"/>
    </row>
    <row r="384">
      <c r="A384" s="46"/>
      <c r="B384" s="46"/>
      <c r="C384" s="46"/>
    </row>
    <row r="385">
      <c r="A385" s="46"/>
      <c r="B385" s="46"/>
      <c r="C385" s="46"/>
    </row>
    <row r="386">
      <c r="A386" s="46"/>
      <c r="B386" s="46"/>
      <c r="C386" s="46"/>
    </row>
    <row r="387">
      <c r="A387" s="46"/>
      <c r="B387" s="46"/>
      <c r="C387" s="46"/>
    </row>
    <row r="388">
      <c r="A388" s="46"/>
      <c r="B388" s="46"/>
      <c r="C388" s="46"/>
    </row>
    <row r="389">
      <c r="A389" s="46"/>
      <c r="B389" s="46"/>
      <c r="C389" s="46"/>
    </row>
    <row r="390">
      <c r="A390" s="46"/>
      <c r="B390" s="46"/>
      <c r="C390" s="46"/>
    </row>
    <row r="391">
      <c r="A391" s="46"/>
      <c r="B391" s="46"/>
      <c r="C391" s="46"/>
    </row>
    <row r="392">
      <c r="A392" s="46"/>
      <c r="B392" s="46"/>
      <c r="C392" s="46"/>
    </row>
    <row r="393">
      <c r="A393" s="46"/>
      <c r="B393" s="46"/>
      <c r="C393" s="46"/>
    </row>
    <row r="394">
      <c r="A394" s="46"/>
      <c r="B394" s="46"/>
      <c r="C394" s="46"/>
    </row>
    <row r="395">
      <c r="A395" s="46"/>
      <c r="B395" s="46"/>
      <c r="C395" s="46"/>
    </row>
    <row r="396">
      <c r="A396" s="46"/>
      <c r="B396" s="46"/>
      <c r="C396" s="46"/>
    </row>
    <row r="397">
      <c r="A397" s="46"/>
      <c r="B397" s="46"/>
      <c r="C397" s="46"/>
    </row>
    <row r="398">
      <c r="A398" s="46"/>
      <c r="B398" s="46"/>
      <c r="C398" s="46"/>
    </row>
    <row r="399">
      <c r="A399" s="46"/>
      <c r="B399" s="46"/>
      <c r="C399" s="46"/>
    </row>
    <row r="400">
      <c r="A400" s="46"/>
      <c r="B400" s="46"/>
      <c r="C400" s="46"/>
    </row>
    <row r="401">
      <c r="A401" s="46"/>
      <c r="B401" s="46"/>
      <c r="C401" s="46"/>
    </row>
    <row r="402">
      <c r="A402" s="46"/>
      <c r="B402" s="46"/>
      <c r="C402" s="46"/>
    </row>
    <row r="403">
      <c r="A403" s="46"/>
      <c r="B403" s="46"/>
      <c r="C403" s="46"/>
    </row>
    <row r="404">
      <c r="A404" s="46"/>
      <c r="B404" s="46"/>
      <c r="C404" s="46"/>
    </row>
    <row r="405">
      <c r="A405" s="46"/>
      <c r="B405" s="46"/>
      <c r="C405" s="46"/>
    </row>
    <row r="406">
      <c r="A406" s="46"/>
      <c r="B406" s="46"/>
      <c r="C406" s="46"/>
    </row>
    <row r="407">
      <c r="A407" s="46"/>
      <c r="B407" s="46"/>
      <c r="C407" s="46"/>
    </row>
    <row r="408">
      <c r="A408" s="46"/>
      <c r="B408" s="46"/>
      <c r="C408" s="46"/>
    </row>
    <row r="409">
      <c r="A409" s="46"/>
      <c r="B409" s="46"/>
      <c r="C409" s="46"/>
    </row>
    <row r="410">
      <c r="A410" s="46"/>
      <c r="B410" s="46"/>
      <c r="C410" s="46"/>
    </row>
    <row r="411">
      <c r="A411" s="46"/>
      <c r="B411" s="46"/>
      <c r="C411" s="46"/>
    </row>
    <row r="412">
      <c r="A412" s="46"/>
      <c r="B412" s="46"/>
      <c r="C412" s="46"/>
    </row>
    <row r="413">
      <c r="A413" s="46"/>
      <c r="B413" s="46"/>
      <c r="C413" s="46"/>
    </row>
    <row r="414">
      <c r="A414" s="46"/>
      <c r="B414" s="46"/>
      <c r="C414" s="46"/>
    </row>
    <row r="415">
      <c r="A415" s="46"/>
      <c r="B415" s="46"/>
      <c r="C415" s="46"/>
    </row>
    <row r="416">
      <c r="A416" s="46"/>
      <c r="B416" s="46"/>
      <c r="C416" s="46"/>
    </row>
    <row r="417">
      <c r="A417" s="46"/>
      <c r="B417" s="46"/>
      <c r="C417" s="46"/>
    </row>
    <row r="418">
      <c r="A418" s="46"/>
      <c r="B418" s="46"/>
      <c r="C418" s="46"/>
    </row>
    <row r="419">
      <c r="A419" s="46"/>
      <c r="B419" s="46"/>
      <c r="C419" s="46"/>
    </row>
    <row r="420">
      <c r="A420" s="46"/>
      <c r="B420" s="46"/>
      <c r="C420" s="46"/>
    </row>
    <row r="421">
      <c r="A421" s="46"/>
      <c r="B421" s="46"/>
      <c r="C421" s="46"/>
    </row>
    <row r="422">
      <c r="A422" s="46"/>
      <c r="B422" s="46"/>
      <c r="C422" s="46"/>
    </row>
    <row r="423">
      <c r="A423" s="46"/>
      <c r="B423" s="46"/>
      <c r="C423" s="46"/>
    </row>
    <row r="424">
      <c r="A424" s="46"/>
      <c r="B424" s="46"/>
      <c r="C424" s="46"/>
    </row>
    <row r="425">
      <c r="A425" s="46"/>
      <c r="B425" s="46"/>
      <c r="C425" s="46"/>
    </row>
    <row r="426">
      <c r="A426" s="46"/>
      <c r="B426" s="46"/>
      <c r="C426" s="46"/>
    </row>
    <row r="427">
      <c r="A427" s="46"/>
      <c r="B427" s="46"/>
      <c r="C427" s="46"/>
    </row>
    <row r="428">
      <c r="A428" s="46"/>
      <c r="B428" s="46"/>
      <c r="C428" s="46"/>
    </row>
    <row r="429">
      <c r="A429" s="46"/>
      <c r="B429" s="46"/>
      <c r="C429" s="46"/>
    </row>
    <row r="430">
      <c r="A430" s="46"/>
      <c r="B430" s="46"/>
      <c r="C430" s="46"/>
    </row>
    <row r="431">
      <c r="A431" s="46"/>
      <c r="B431" s="46"/>
      <c r="C431" s="46"/>
    </row>
    <row r="432">
      <c r="A432" s="46"/>
      <c r="B432" s="46"/>
      <c r="C432" s="46"/>
    </row>
    <row r="433">
      <c r="A433" s="46"/>
      <c r="B433" s="46"/>
      <c r="C433" s="46"/>
    </row>
    <row r="434">
      <c r="A434" s="46"/>
      <c r="B434" s="46"/>
      <c r="C434" s="46"/>
    </row>
    <row r="435">
      <c r="A435" s="46"/>
      <c r="B435" s="46"/>
      <c r="C435" s="46"/>
    </row>
    <row r="436">
      <c r="A436" s="46"/>
      <c r="B436" s="46"/>
      <c r="C436" s="46"/>
    </row>
    <row r="437">
      <c r="A437" s="46"/>
      <c r="B437" s="46"/>
      <c r="C437" s="46"/>
    </row>
    <row r="438">
      <c r="A438" s="46"/>
      <c r="B438" s="46"/>
      <c r="C438" s="46"/>
    </row>
    <row r="439">
      <c r="A439" s="46"/>
      <c r="B439" s="46"/>
      <c r="C439" s="46"/>
    </row>
    <row r="440">
      <c r="A440" s="46"/>
      <c r="B440" s="46"/>
      <c r="C440" s="46"/>
    </row>
    <row r="441">
      <c r="A441" s="46"/>
      <c r="B441" s="46"/>
      <c r="C441" s="46"/>
    </row>
    <row r="442">
      <c r="A442" s="46"/>
      <c r="B442" s="46"/>
      <c r="C442" s="46"/>
    </row>
    <row r="443">
      <c r="A443" s="46"/>
      <c r="B443" s="46"/>
      <c r="C443" s="46"/>
    </row>
    <row r="444">
      <c r="A444" s="46"/>
      <c r="B444" s="46"/>
      <c r="C444" s="46"/>
    </row>
    <row r="445">
      <c r="A445" s="46"/>
      <c r="B445" s="46"/>
      <c r="C445" s="46"/>
    </row>
    <row r="446">
      <c r="A446" s="46"/>
      <c r="B446" s="46"/>
      <c r="C446" s="46"/>
    </row>
    <row r="447">
      <c r="A447" s="46"/>
      <c r="B447" s="46"/>
      <c r="C447" s="46"/>
    </row>
    <row r="448">
      <c r="A448" s="46"/>
      <c r="B448" s="46"/>
      <c r="C448" s="46"/>
    </row>
    <row r="449">
      <c r="A449" s="46"/>
      <c r="B449" s="46"/>
      <c r="C449" s="46"/>
    </row>
    <row r="450">
      <c r="A450" s="46"/>
      <c r="B450" s="46"/>
      <c r="C450" s="46"/>
    </row>
    <row r="451">
      <c r="A451" s="46"/>
      <c r="B451" s="46"/>
      <c r="C451" s="46"/>
    </row>
    <row r="452">
      <c r="A452" s="46"/>
      <c r="B452" s="46"/>
      <c r="C452" s="46"/>
    </row>
    <row r="453">
      <c r="A453" s="46"/>
      <c r="B453" s="46"/>
      <c r="C453" s="46"/>
    </row>
    <row r="454">
      <c r="A454" s="46"/>
      <c r="B454" s="46"/>
      <c r="C454" s="46"/>
    </row>
    <row r="455">
      <c r="A455" s="46"/>
      <c r="B455" s="46"/>
      <c r="C455" s="46"/>
    </row>
    <row r="456">
      <c r="A456" s="46"/>
      <c r="B456" s="46"/>
      <c r="C456" s="46"/>
    </row>
    <row r="457">
      <c r="A457" s="46"/>
      <c r="B457" s="46"/>
      <c r="C457" s="46"/>
    </row>
    <row r="458">
      <c r="A458" s="46"/>
      <c r="B458" s="46"/>
      <c r="C458" s="46"/>
    </row>
    <row r="459">
      <c r="A459" s="46"/>
      <c r="B459" s="46"/>
      <c r="C459" s="46"/>
    </row>
    <row r="460">
      <c r="A460" s="46"/>
      <c r="B460" s="46"/>
      <c r="C460" s="46"/>
    </row>
    <row r="461">
      <c r="A461" s="46"/>
      <c r="B461" s="46"/>
      <c r="C461" s="46"/>
    </row>
    <row r="462">
      <c r="A462" s="46"/>
      <c r="B462" s="46"/>
      <c r="C462" s="46"/>
    </row>
    <row r="463">
      <c r="A463" s="46"/>
      <c r="B463" s="46"/>
      <c r="C463" s="46"/>
    </row>
    <row r="464">
      <c r="A464" s="46"/>
      <c r="B464" s="46"/>
      <c r="C464" s="46"/>
    </row>
    <row r="465">
      <c r="A465" s="46"/>
      <c r="B465" s="46"/>
      <c r="C465" s="46"/>
    </row>
    <row r="466">
      <c r="A466" s="46"/>
      <c r="B466" s="46"/>
      <c r="C466" s="46"/>
    </row>
    <row r="467">
      <c r="A467" s="46"/>
      <c r="B467" s="46"/>
      <c r="C467" s="46"/>
    </row>
    <row r="468">
      <c r="A468" s="46"/>
      <c r="B468" s="46"/>
      <c r="C468" s="46"/>
    </row>
    <row r="469">
      <c r="A469" s="46"/>
      <c r="B469" s="46"/>
      <c r="C469" s="46"/>
    </row>
    <row r="470">
      <c r="A470" s="46"/>
      <c r="B470" s="46"/>
      <c r="C470" s="46"/>
    </row>
    <row r="471">
      <c r="A471" s="46"/>
      <c r="B471" s="46"/>
      <c r="C471" s="46"/>
    </row>
    <row r="472">
      <c r="A472" s="46"/>
      <c r="B472" s="46"/>
      <c r="C472" s="46"/>
    </row>
    <row r="473">
      <c r="A473" s="46"/>
      <c r="B473" s="46"/>
      <c r="C473" s="46"/>
    </row>
    <row r="474">
      <c r="A474" s="46"/>
      <c r="B474" s="46"/>
      <c r="C474" s="46"/>
    </row>
    <row r="475">
      <c r="A475" s="46"/>
      <c r="B475" s="46"/>
      <c r="C475" s="46"/>
    </row>
    <row r="476">
      <c r="A476" s="46"/>
      <c r="B476" s="46"/>
      <c r="C476" s="46"/>
    </row>
    <row r="477">
      <c r="A477" s="46"/>
      <c r="B477" s="46"/>
      <c r="C477" s="46"/>
    </row>
    <row r="478">
      <c r="A478" s="46"/>
      <c r="B478" s="46"/>
      <c r="C478" s="46"/>
    </row>
    <row r="479">
      <c r="A479" s="46"/>
      <c r="B479" s="46"/>
      <c r="C479" s="46"/>
    </row>
    <row r="480">
      <c r="A480" s="46"/>
      <c r="B480" s="46"/>
      <c r="C480" s="46"/>
    </row>
    <row r="481">
      <c r="A481" s="46"/>
      <c r="B481" s="46"/>
      <c r="C481" s="46"/>
    </row>
    <row r="482">
      <c r="A482" s="46"/>
      <c r="B482" s="46"/>
      <c r="C482" s="46"/>
    </row>
    <row r="483">
      <c r="A483" s="46"/>
      <c r="B483" s="46"/>
      <c r="C483" s="46"/>
    </row>
    <row r="484">
      <c r="A484" s="46"/>
      <c r="B484" s="46"/>
      <c r="C484" s="46"/>
    </row>
    <row r="485">
      <c r="A485" s="46"/>
      <c r="B485" s="46"/>
      <c r="C485" s="46"/>
    </row>
    <row r="486">
      <c r="A486" s="46"/>
      <c r="B486" s="46"/>
      <c r="C486" s="46"/>
    </row>
    <row r="487">
      <c r="A487" s="46"/>
      <c r="B487" s="46"/>
      <c r="C487" s="46"/>
    </row>
    <row r="488">
      <c r="A488" s="46"/>
      <c r="B488" s="46"/>
      <c r="C488" s="46"/>
    </row>
    <row r="489">
      <c r="A489" s="46"/>
      <c r="B489" s="46"/>
      <c r="C489" s="46"/>
    </row>
    <row r="490">
      <c r="A490" s="46"/>
      <c r="B490" s="46"/>
      <c r="C490" s="46"/>
    </row>
    <row r="491">
      <c r="A491" s="46"/>
      <c r="B491" s="46"/>
      <c r="C491" s="46"/>
    </row>
    <row r="492">
      <c r="A492" s="46"/>
      <c r="B492" s="46"/>
      <c r="C492" s="46"/>
    </row>
    <row r="493">
      <c r="A493" s="46"/>
      <c r="B493" s="46"/>
      <c r="C493" s="46"/>
    </row>
    <row r="494">
      <c r="A494" s="46"/>
      <c r="B494" s="46"/>
      <c r="C494" s="46"/>
    </row>
    <row r="495">
      <c r="A495" s="46"/>
      <c r="B495" s="46"/>
      <c r="C495" s="46"/>
    </row>
    <row r="496">
      <c r="A496" s="46"/>
      <c r="B496" s="46"/>
      <c r="C496" s="46"/>
    </row>
    <row r="497">
      <c r="A497" s="46"/>
      <c r="B497" s="46"/>
      <c r="C497" s="46"/>
    </row>
    <row r="498">
      <c r="A498" s="46"/>
      <c r="B498" s="46"/>
      <c r="C498" s="46"/>
    </row>
    <row r="499">
      <c r="A499" s="46"/>
      <c r="B499" s="46"/>
      <c r="C499" s="46"/>
    </row>
    <row r="500">
      <c r="A500" s="46"/>
      <c r="B500" s="46"/>
      <c r="C500" s="46"/>
    </row>
    <row r="501">
      <c r="A501" s="46"/>
      <c r="B501" s="46"/>
      <c r="C501" s="46"/>
    </row>
    <row r="502">
      <c r="A502" s="46"/>
      <c r="B502" s="46"/>
      <c r="C502" s="46"/>
    </row>
    <row r="503">
      <c r="A503" s="46"/>
      <c r="B503" s="46"/>
      <c r="C503" s="46"/>
    </row>
    <row r="504">
      <c r="A504" s="46"/>
      <c r="B504" s="46"/>
      <c r="C504" s="46"/>
    </row>
    <row r="505">
      <c r="A505" s="46"/>
      <c r="B505" s="46"/>
      <c r="C505" s="46"/>
    </row>
    <row r="506">
      <c r="A506" s="46"/>
      <c r="B506" s="46"/>
      <c r="C506" s="46"/>
    </row>
    <row r="507">
      <c r="A507" s="46"/>
      <c r="B507" s="46"/>
      <c r="C507" s="46"/>
    </row>
    <row r="508">
      <c r="A508" s="46"/>
      <c r="B508" s="46"/>
      <c r="C508" s="46"/>
    </row>
    <row r="509">
      <c r="A509" s="46"/>
      <c r="B509" s="46"/>
      <c r="C509" s="46"/>
    </row>
    <row r="510">
      <c r="A510" s="46"/>
      <c r="B510" s="46"/>
      <c r="C510" s="46"/>
    </row>
    <row r="511">
      <c r="A511" s="46"/>
      <c r="B511" s="46"/>
      <c r="C511" s="46"/>
    </row>
    <row r="512">
      <c r="A512" s="46"/>
      <c r="B512" s="46"/>
      <c r="C512" s="46"/>
    </row>
    <row r="513">
      <c r="A513" s="46"/>
      <c r="B513" s="46"/>
      <c r="C513" s="46"/>
    </row>
    <row r="514">
      <c r="A514" s="46"/>
      <c r="B514" s="46"/>
      <c r="C514" s="46"/>
    </row>
    <row r="515">
      <c r="A515" s="46"/>
      <c r="B515" s="46"/>
      <c r="C515" s="46"/>
    </row>
    <row r="516">
      <c r="A516" s="46"/>
      <c r="B516" s="46"/>
      <c r="C516" s="46"/>
    </row>
    <row r="517">
      <c r="A517" s="46"/>
      <c r="B517" s="46"/>
      <c r="C517" s="46"/>
    </row>
    <row r="518">
      <c r="A518" s="46"/>
      <c r="B518" s="46"/>
      <c r="C518" s="46"/>
    </row>
    <row r="519">
      <c r="A519" s="46"/>
      <c r="B519" s="46"/>
      <c r="C519" s="46"/>
    </row>
    <row r="520">
      <c r="A520" s="46"/>
      <c r="B520" s="46"/>
      <c r="C520" s="46"/>
    </row>
    <row r="521">
      <c r="A521" s="46"/>
      <c r="B521" s="46"/>
      <c r="C521" s="46"/>
    </row>
    <row r="522">
      <c r="A522" s="46"/>
      <c r="B522" s="46"/>
      <c r="C522" s="46"/>
    </row>
    <row r="523">
      <c r="A523" s="46"/>
      <c r="B523" s="46"/>
      <c r="C523" s="46"/>
    </row>
    <row r="524">
      <c r="A524" s="46"/>
      <c r="B524" s="46"/>
      <c r="C524" s="46"/>
    </row>
    <row r="525">
      <c r="A525" s="46"/>
      <c r="B525" s="46"/>
      <c r="C525" s="46"/>
    </row>
    <row r="526">
      <c r="A526" s="46"/>
      <c r="B526" s="46"/>
      <c r="C526" s="46"/>
    </row>
    <row r="527">
      <c r="A527" s="46"/>
      <c r="B527" s="46"/>
      <c r="C527" s="46"/>
    </row>
    <row r="528">
      <c r="A528" s="46"/>
      <c r="B528" s="46"/>
      <c r="C528" s="46"/>
    </row>
    <row r="529">
      <c r="A529" s="46"/>
      <c r="B529" s="46"/>
      <c r="C529" s="46"/>
    </row>
    <row r="530">
      <c r="A530" s="46"/>
      <c r="B530" s="46"/>
      <c r="C530" s="46"/>
    </row>
    <row r="531">
      <c r="A531" s="46"/>
      <c r="B531" s="46"/>
      <c r="C531" s="46"/>
    </row>
    <row r="532">
      <c r="A532" s="46"/>
      <c r="B532" s="46"/>
      <c r="C532" s="46"/>
    </row>
    <row r="533">
      <c r="A533" s="46"/>
      <c r="B533" s="46"/>
      <c r="C533" s="46"/>
    </row>
    <row r="534">
      <c r="A534" s="46"/>
      <c r="B534" s="46"/>
      <c r="C534" s="46"/>
    </row>
    <row r="535">
      <c r="A535" s="46"/>
      <c r="B535" s="46"/>
      <c r="C535" s="46"/>
    </row>
    <row r="536">
      <c r="A536" s="46"/>
      <c r="B536" s="46"/>
      <c r="C536" s="46"/>
    </row>
    <row r="537">
      <c r="A537" s="46"/>
      <c r="B537" s="46"/>
      <c r="C537" s="46"/>
    </row>
    <row r="538">
      <c r="A538" s="46"/>
      <c r="B538" s="46"/>
      <c r="C538" s="46"/>
    </row>
    <row r="539">
      <c r="A539" s="46"/>
      <c r="B539" s="46"/>
      <c r="C539" s="46"/>
    </row>
    <row r="540">
      <c r="A540" s="46"/>
      <c r="B540" s="46"/>
      <c r="C540" s="46"/>
    </row>
    <row r="541">
      <c r="A541" s="46"/>
      <c r="B541" s="46"/>
      <c r="C541" s="46"/>
    </row>
    <row r="542">
      <c r="A542" s="46"/>
      <c r="B542" s="46"/>
      <c r="C542" s="46"/>
    </row>
    <row r="543">
      <c r="A543" s="46"/>
      <c r="B543" s="46"/>
      <c r="C543" s="46"/>
    </row>
    <row r="544">
      <c r="A544" s="46"/>
      <c r="B544" s="46"/>
      <c r="C544" s="46"/>
    </row>
    <row r="545">
      <c r="A545" s="46"/>
      <c r="B545" s="46"/>
      <c r="C545" s="46"/>
    </row>
    <row r="546">
      <c r="A546" s="46"/>
      <c r="B546" s="46"/>
      <c r="C546" s="46"/>
    </row>
    <row r="547">
      <c r="A547" s="46"/>
      <c r="B547" s="46"/>
      <c r="C547" s="46"/>
    </row>
    <row r="548">
      <c r="A548" s="46"/>
      <c r="B548" s="46"/>
      <c r="C548" s="46"/>
    </row>
    <row r="549">
      <c r="A549" s="46"/>
      <c r="B549" s="46"/>
      <c r="C549" s="46"/>
    </row>
    <row r="550">
      <c r="A550" s="46"/>
      <c r="B550" s="46"/>
      <c r="C550" s="46"/>
    </row>
    <row r="551">
      <c r="A551" s="46"/>
      <c r="B551" s="46"/>
      <c r="C551" s="46"/>
    </row>
    <row r="552">
      <c r="A552" s="46"/>
      <c r="B552" s="46"/>
      <c r="C552" s="46"/>
    </row>
    <row r="553">
      <c r="A553" s="46"/>
      <c r="B553" s="46"/>
      <c r="C553" s="46"/>
    </row>
    <row r="554">
      <c r="A554" s="46"/>
      <c r="B554" s="46"/>
      <c r="C554" s="46"/>
    </row>
    <row r="555">
      <c r="A555" s="46"/>
      <c r="B555" s="46"/>
      <c r="C555" s="46"/>
    </row>
    <row r="556">
      <c r="A556" s="46"/>
      <c r="B556" s="46"/>
      <c r="C556" s="46"/>
    </row>
    <row r="557">
      <c r="A557" s="46"/>
      <c r="B557" s="46"/>
      <c r="C557" s="46"/>
    </row>
    <row r="558">
      <c r="A558" s="46"/>
      <c r="B558" s="46"/>
      <c r="C558" s="46"/>
    </row>
    <row r="559">
      <c r="A559" s="46"/>
      <c r="B559" s="46"/>
      <c r="C559" s="46"/>
    </row>
    <row r="560">
      <c r="A560" s="46"/>
      <c r="B560" s="46"/>
      <c r="C560" s="46"/>
    </row>
    <row r="561">
      <c r="A561" s="46"/>
      <c r="B561" s="46"/>
      <c r="C561" s="46"/>
    </row>
    <row r="562">
      <c r="A562" s="46"/>
      <c r="B562" s="46"/>
      <c r="C562" s="46"/>
    </row>
    <row r="563">
      <c r="A563" s="46"/>
      <c r="B563" s="46"/>
      <c r="C563" s="46"/>
    </row>
    <row r="564">
      <c r="A564" s="46"/>
      <c r="B564" s="46"/>
      <c r="C564" s="46"/>
    </row>
    <row r="565">
      <c r="A565" s="46"/>
      <c r="B565" s="46"/>
      <c r="C565" s="46"/>
    </row>
    <row r="566">
      <c r="A566" s="46"/>
      <c r="B566" s="46"/>
      <c r="C566" s="46"/>
    </row>
    <row r="567">
      <c r="A567" s="46"/>
      <c r="B567" s="46"/>
      <c r="C567" s="46"/>
    </row>
    <row r="568">
      <c r="A568" s="46"/>
      <c r="B568" s="46"/>
      <c r="C568" s="46"/>
    </row>
    <row r="569">
      <c r="A569" s="46"/>
      <c r="B569" s="46"/>
      <c r="C569" s="46"/>
    </row>
    <row r="570">
      <c r="A570" s="46"/>
      <c r="B570" s="46"/>
      <c r="C570" s="46"/>
    </row>
    <row r="571">
      <c r="A571" s="46"/>
      <c r="B571" s="46"/>
      <c r="C571" s="46"/>
    </row>
    <row r="572">
      <c r="A572" s="46"/>
      <c r="B572" s="46"/>
      <c r="C572" s="46"/>
    </row>
    <row r="573">
      <c r="A573" s="46"/>
      <c r="B573" s="46"/>
      <c r="C573" s="46"/>
    </row>
    <row r="574">
      <c r="A574" s="46"/>
      <c r="B574" s="46"/>
      <c r="C574" s="46"/>
    </row>
    <row r="575">
      <c r="A575" s="46"/>
      <c r="B575" s="46"/>
      <c r="C575" s="46"/>
    </row>
    <row r="576">
      <c r="A576" s="46"/>
      <c r="B576" s="46"/>
      <c r="C576" s="46"/>
    </row>
    <row r="577">
      <c r="A577" s="46"/>
      <c r="B577" s="46"/>
      <c r="C577" s="46"/>
    </row>
    <row r="578">
      <c r="A578" s="46"/>
      <c r="B578" s="46"/>
      <c r="C578" s="46"/>
    </row>
    <row r="579">
      <c r="A579" s="46"/>
      <c r="B579" s="46"/>
      <c r="C579" s="46"/>
    </row>
    <row r="580">
      <c r="A580" s="46"/>
      <c r="B580" s="46"/>
      <c r="C580" s="46"/>
    </row>
    <row r="581">
      <c r="A581" s="46"/>
      <c r="B581" s="46"/>
      <c r="C581" s="46"/>
    </row>
    <row r="582">
      <c r="A582" s="46"/>
      <c r="B582" s="46"/>
      <c r="C582" s="46"/>
    </row>
    <row r="583">
      <c r="A583" s="46"/>
      <c r="B583" s="46"/>
      <c r="C583" s="46"/>
    </row>
    <row r="584">
      <c r="A584" s="46"/>
      <c r="B584" s="46"/>
      <c r="C584" s="46"/>
    </row>
    <row r="585">
      <c r="A585" s="46"/>
      <c r="B585" s="46"/>
      <c r="C585" s="46"/>
    </row>
    <row r="586">
      <c r="A586" s="46"/>
      <c r="B586" s="46"/>
      <c r="C586" s="46"/>
    </row>
    <row r="587">
      <c r="A587" s="46"/>
      <c r="B587" s="46"/>
      <c r="C587" s="46"/>
    </row>
    <row r="588">
      <c r="A588" s="46"/>
      <c r="B588" s="46"/>
      <c r="C588" s="46"/>
    </row>
    <row r="589">
      <c r="A589" s="46"/>
      <c r="B589" s="46"/>
      <c r="C589" s="46"/>
    </row>
    <row r="590">
      <c r="A590" s="46"/>
      <c r="B590" s="46"/>
      <c r="C590" s="46"/>
    </row>
    <row r="591">
      <c r="A591" s="46"/>
      <c r="B591" s="46"/>
      <c r="C591" s="46"/>
    </row>
    <row r="592">
      <c r="A592" s="46"/>
      <c r="B592" s="46"/>
      <c r="C592" s="46"/>
    </row>
    <row r="593">
      <c r="A593" s="46"/>
      <c r="B593" s="46"/>
      <c r="C593" s="46"/>
    </row>
    <row r="594">
      <c r="A594" s="46"/>
      <c r="B594" s="46"/>
      <c r="C594" s="46"/>
    </row>
    <row r="595">
      <c r="A595" s="46"/>
      <c r="B595" s="46"/>
      <c r="C595" s="46"/>
    </row>
    <row r="596">
      <c r="A596" s="46"/>
      <c r="B596" s="46"/>
      <c r="C596" s="46"/>
    </row>
    <row r="597">
      <c r="A597" s="46"/>
      <c r="B597" s="46"/>
      <c r="C597" s="46"/>
    </row>
    <row r="598">
      <c r="A598" s="46"/>
      <c r="B598" s="46"/>
      <c r="C598" s="46"/>
    </row>
    <row r="599">
      <c r="A599" s="46"/>
      <c r="B599" s="46"/>
      <c r="C599" s="46"/>
    </row>
    <row r="600">
      <c r="A600" s="46"/>
      <c r="B600" s="46"/>
      <c r="C600" s="46"/>
    </row>
    <row r="601">
      <c r="A601" s="46"/>
      <c r="B601" s="46"/>
      <c r="C601" s="46"/>
    </row>
    <row r="602">
      <c r="A602" s="46"/>
      <c r="B602" s="46"/>
      <c r="C602" s="46"/>
    </row>
    <row r="603">
      <c r="A603" s="46"/>
      <c r="B603" s="46"/>
      <c r="C603" s="46"/>
    </row>
    <row r="604">
      <c r="A604" s="46"/>
      <c r="B604" s="46"/>
      <c r="C604" s="46"/>
    </row>
    <row r="605">
      <c r="A605" s="46"/>
      <c r="B605" s="46"/>
      <c r="C605" s="46"/>
    </row>
    <row r="606">
      <c r="A606" s="46"/>
      <c r="B606" s="46"/>
      <c r="C606" s="46"/>
    </row>
    <row r="607">
      <c r="A607" s="46"/>
      <c r="B607" s="46"/>
      <c r="C607" s="46"/>
    </row>
    <row r="608">
      <c r="A608" s="46"/>
      <c r="B608" s="46"/>
      <c r="C608" s="46"/>
    </row>
    <row r="609">
      <c r="A609" s="46"/>
      <c r="B609" s="46"/>
      <c r="C609" s="46"/>
    </row>
    <row r="610">
      <c r="A610" s="46"/>
      <c r="B610" s="46"/>
      <c r="C610" s="46"/>
    </row>
    <row r="611">
      <c r="A611" s="46"/>
      <c r="B611" s="46"/>
      <c r="C611" s="46"/>
    </row>
    <row r="612">
      <c r="A612" s="46"/>
      <c r="B612" s="46"/>
      <c r="C612" s="46"/>
    </row>
    <row r="613">
      <c r="A613" s="46"/>
      <c r="B613" s="46"/>
      <c r="C613" s="46"/>
    </row>
    <row r="614">
      <c r="A614" s="46"/>
      <c r="B614" s="46"/>
      <c r="C614" s="46"/>
    </row>
    <row r="615">
      <c r="A615" s="46"/>
      <c r="B615" s="46"/>
      <c r="C615" s="46"/>
    </row>
    <row r="616">
      <c r="A616" s="46"/>
      <c r="B616" s="46"/>
      <c r="C616" s="46"/>
    </row>
    <row r="617">
      <c r="A617" s="46"/>
      <c r="B617" s="46"/>
      <c r="C617" s="46"/>
    </row>
    <row r="618">
      <c r="A618" s="46"/>
      <c r="B618" s="46"/>
      <c r="C618" s="46"/>
    </row>
    <row r="619">
      <c r="A619" s="46"/>
      <c r="B619" s="46"/>
      <c r="C619" s="46"/>
    </row>
    <row r="620">
      <c r="A620" s="46"/>
      <c r="B620" s="46"/>
      <c r="C620" s="46"/>
    </row>
    <row r="621">
      <c r="A621" s="46"/>
      <c r="B621" s="46"/>
      <c r="C621" s="46"/>
    </row>
    <row r="622">
      <c r="A622" s="46"/>
      <c r="B622" s="46"/>
      <c r="C622" s="46"/>
    </row>
    <row r="623">
      <c r="A623" s="46"/>
      <c r="B623" s="46"/>
      <c r="C623" s="46"/>
    </row>
    <row r="624">
      <c r="A624" s="46"/>
      <c r="B624" s="46"/>
      <c r="C624" s="46"/>
    </row>
    <row r="625">
      <c r="A625" s="46"/>
      <c r="B625" s="46"/>
      <c r="C625" s="46"/>
    </row>
    <row r="626">
      <c r="A626" s="46"/>
      <c r="B626" s="46"/>
      <c r="C626" s="46"/>
    </row>
    <row r="627">
      <c r="A627" s="46"/>
      <c r="B627" s="46"/>
      <c r="C627" s="46"/>
    </row>
    <row r="628">
      <c r="A628" s="46"/>
      <c r="B628" s="46"/>
      <c r="C628" s="46"/>
    </row>
    <row r="629">
      <c r="A629" s="46"/>
      <c r="B629" s="46"/>
      <c r="C629" s="46"/>
    </row>
    <row r="630">
      <c r="A630" s="46"/>
      <c r="B630" s="46"/>
      <c r="C630" s="46"/>
    </row>
    <row r="631">
      <c r="A631" s="46"/>
      <c r="B631" s="46"/>
      <c r="C631" s="46"/>
    </row>
    <row r="632">
      <c r="A632" s="46"/>
      <c r="B632" s="46"/>
      <c r="C632" s="46"/>
    </row>
    <row r="633">
      <c r="A633" s="46"/>
      <c r="B633" s="46"/>
      <c r="C633" s="46"/>
    </row>
    <row r="634">
      <c r="A634" s="46"/>
      <c r="B634" s="46"/>
      <c r="C634" s="46"/>
    </row>
    <row r="635">
      <c r="A635" s="46"/>
      <c r="B635" s="46"/>
      <c r="C635" s="46"/>
    </row>
    <row r="636">
      <c r="A636" s="46"/>
      <c r="B636" s="46"/>
      <c r="C636" s="46"/>
    </row>
    <row r="637">
      <c r="A637" s="46"/>
      <c r="B637" s="46"/>
      <c r="C637" s="46"/>
    </row>
    <row r="638">
      <c r="A638" s="46"/>
      <c r="B638" s="46"/>
      <c r="C638" s="46"/>
    </row>
    <row r="639">
      <c r="A639" s="46"/>
      <c r="B639" s="46"/>
      <c r="C639" s="46"/>
    </row>
    <row r="640">
      <c r="A640" s="46"/>
      <c r="B640" s="46"/>
      <c r="C640" s="46"/>
    </row>
    <row r="641">
      <c r="A641" s="46"/>
      <c r="B641" s="46"/>
      <c r="C641" s="46"/>
    </row>
    <row r="642">
      <c r="A642" s="46"/>
      <c r="B642" s="46"/>
      <c r="C642" s="46"/>
    </row>
    <row r="643">
      <c r="A643" s="46"/>
      <c r="B643" s="46"/>
      <c r="C643" s="46"/>
    </row>
    <row r="644">
      <c r="A644" s="46"/>
      <c r="B644" s="46"/>
      <c r="C644" s="46"/>
    </row>
    <row r="645">
      <c r="A645" s="46"/>
      <c r="B645" s="46"/>
      <c r="C645" s="46"/>
    </row>
    <row r="646">
      <c r="A646" s="46"/>
      <c r="B646" s="46"/>
      <c r="C646" s="46"/>
    </row>
    <row r="647">
      <c r="A647" s="46"/>
      <c r="B647" s="46"/>
      <c r="C647" s="46"/>
    </row>
    <row r="648">
      <c r="A648" s="46"/>
      <c r="B648" s="46"/>
      <c r="C648" s="46"/>
    </row>
    <row r="649">
      <c r="A649" s="46"/>
      <c r="B649" s="46"/>
      <c r="C649" s="46"/>
    </row>
    <row r="650">
      <c r="A650" s="46"/>
      <c r="B650" s="46"/>
      <c r="C650" s="46"/>
    </row>
    <row r="651">
      <c r="A651" s="46"/>
      <c r="B651" s="46"/>
      <c r="C651" s="46"/>
    </row>
    <row r="652">
      <c r="A652" s="46"/>
      <c r="B652" s="46"/>
      <c r="C652" s="46"/>
    </row>
    <row r="653">
      <c r="A653" s="46"/>
      <c r="B653" s="46"/>
      <c r="C653" s="46"/>
    </row>
    <row r="654">
      <c r="A654" s="46"/>
      <c r="B654" s="46"/>
      <c r="C654" s="46"/>
    </row>
    <row r="655">
      <c r="A655" s="46"/>
      <c r="B655" s="46"/>
      <c r="C655" s="46"/>
    </row>
    <row r="656">
      <c r="A656" s="46"/>
      <c r="B656" s="46"/>
      <c r="C656" s="46"/>
    </row>
    <row r="657">
      <c r="A657" s="46"/>
      <c r="B657" s="46"/>
      <c r="C657" s="46"/>
    </row>
    <row r="658">
      <c r="A658" s="46"/>
      <c r="B658" s="46"/>
      <c r="C658" s="46"/>
    </row>
    <row r="659">
      <c r="A659" s="46"/>
      <c r="B659" s="46"/>
      <c r="C659" s="46"/>
    </row>
    <row r="660">
      <c r="A660" s="46"/>
      <c r="B660" s="46"/>
      <c r="C660" s="46"/>
    </row>
    <row r="661">
      <c r="A661" s="46"/>
      <c r="B661" s="46"/>
      <c r="C661" s="46"/>
    </row>
    <row r="662">
      <c r="A662" s="46"/>
      <c r="B662" s="46"/>
      <c r="C662" s="46"/>
    </row>
    <row r="663">
      <c r="A663" s="46"/>
      <c r="B663" s="46"/>
      <c r="C663" s="46"/>
    </row>
    <row r="664">
      <c r="A664" s="46"/>
      <c r="B664" s="46"/>
      <c r="C664" s="46"/>
    </row>
    <row r="665">
      <c r="A665" s="46"/>
      <c r="B665" s="46"/>
      <c r="C665" s="46"/>
    </row>
    <row r="666">
      <c r="A666" s="46"/>
      <c r="B666" s="46"/>
      <c r="C666" s="46"/>
    </row>
    <row r="667">
      <c r="A667" s="46"/>
      <c r="B667" s="46"/>
      <c r="C667" s="46"/>
    </row>
    <row r="668">
      <c r="A668" s="46"/>
      <c r="B668" s="46"/>
      <c r="C668" s="46"/>
    </row>
    <row r="669">
      <c r="A669" s="46"/>
      <c r="B669" s="46"/>
      <c r="C669" s="46"/>
    </row>
    <row r="670">
      <c r="A670" s="46"/>
      <c r="B670" s="46"/>
      <c r="C670" s="46"/>
    </row>
    <row r="671">
      <c r="A671" s="46"/>
      <c r="B671" s="46"/>
      <c r="C671" s="46"/>
    </row>
    <row r="672">
      <c r="A672" s="46"/>
      <c r="B672" s="46"/>
      <c r="C672" s="46"/>
    </row>
    <row r="673">
      <c r="A673" s="46"/>
      <c r="B673" s="46"/>
      <c r="C673" s="46"/>
    </row>
    <row r="674">
      <c r="A674" s="46"/>
      <c r="B674" s="46"/>
      <c r="C674" s="46"/>
    </row>
    <row r="675">
      <c r="A675" s="46"/>
      <c r="B675" s="46"/>
      <c r="C675" s="46"/>
    </row>
    <row r="676">
      <c r="A676" s="46"/>
      <c r="B676" s="46"/>
      <c r="C676" s="46"/>
    </row>
    <row r="677">
      <c r="A677" s="46"/>
      <c r="B677" s="46"/>
      <c r="C677" s="46"/>
    </row>
    <row r="678">
      <c r="A678" s="46"/>
      <c r="B678" s="46"/>
      <c r="C678" s="46"/>
    </row>
    <row r="679">
      <c r="A679" s="46"/>
      <c r="B679" s="46"/>
      <c r="C679" s="46"/>
    </row>
    <row r="680">
      <c r="A680" s="46"/>
      <c r="B680" s="46"/>
      <c r="C680" s="46"/>
    </row>
    <row r="681">
      <c r="A681" s="46"/>
      <c r="B681" s="46"/>
      <c r="C681" s="46"/>
    </row>
    <row r="682">
      <c r="A682" s="46"/>
      <c r="B682" s="46"/>
      <c r="C682" s="46"/>
    </row>
    <row r="683">
      <c r="A683" s="46"/>
      <c r="B683" s="46"/>
      <c r="C683" s="46"/>
    </row>
    <row r="684">
      <c r="A684" s="46"/>
      <c r="B684" s="46"/>
      <c r="C684" s="46"/>
    </row>
    <row r="685">
      <c r="A685" s="46"/>
      <c r="B685" s="46"/>
      <c r="C685" s="46"/>
    </row>
    <row r="686">
      <c r="A686" s="46"/>
      <c r="B686" s="46"/>
      <c r="C686" s="46"/>
    </row>
    <row r="687">
      <c r="A687" s="46"/>
      <c r="B687" s="46"/>
      <c r="C687" s="46"/>
    </row>
    <row r="688">
      <c r="A688" s="46"/>
      <c r="B688" s="46"/>
      <c r="C688" s="46"/>
    </row>
    <row r="689">
      <c r="A689" s="46"/>
      <c r="B689" s="46"/>
      <c r="C689" s="46"/>
    </row>
    <row r="690">
      <c r="A690" s="46"/>
      <c r="B690" s="46"/>
      <c r="C690" s="46"/>
    </row>
    <row r="691">
      <c r="A691" s="46"/>
      <c r="B691" s="46"/>
      <c r="C691" s="46"/>
    </row>
    <row r="692">
      <c r="A692" s="46"/>
      <c r="B692" s="46"/>
      <c r="C692" s="46"/>
    </row>
    <row r="693">
      <c r="A693" s="46"/>
      <c r="B693" s="46"/>
      <c r="C693" s="46"/>
    </row>
    <row r="694">
      <c r="A694" s="46"/>
      <c r="B694" s="46"/>
      <c r="C694" s="46"/>
    </row>
    <row r="695">
      <c r="A695" s="46"/>
      <c r="B695" s="46"/>
      <c r="C695" s="46"/>
    </row>
    <row r="696">
      <c r="A696" s="46"/>
      <c r="B696" s="46"/>
      <c r="C696" s="46"/>
    </row>
    <row r="697">
      <c r="A697" s="46"/>
      <c r="B697" s="46"/>
      <c r="C697" s="46"/>
    </row>
    <row r="698">
      <c r="A698" s="46"/>
      <c r="B698" s="46"/>
      <c r="C698" s="46"/>
    </row>
    <row r="699">
      <c r="A699" s="46"/>
      <c r="B699" s="46"/>
      <c r="C699" s="46"/>
    </row>
    <row r="700">
      <c r="A700" s="46"/>
      <c r="B700" s="46"/>
      <c r="C700" s="46"/>
    </row>
    <row r="701">
      <c r="A701" s="46"/>
      <c r="B701" s="46"/>
      <c r="C701" s="46"/>
    </row>
    <row r="702">
      <c r="A702" s="46"/>
      <c r="B702" s="46"/>
      <c r="C702" s="46"/>
    </row>
    <row r="703">
      <c r="A703" s="46"/>
      <c r="B703" s="46"/>
      <c r="C703" s="46"/>
    </row>
    <row r="704">
      <c r="A704" s="46"/>
      <c r="B704" s="46"/>
      <c r="C704" s="46"/>
    </row>
    <row r="705">
      <c r="A705" s="46"/>
      <c r="B705" s="46"/>
      <c r="C705" s="46"/>
    </row>
    <row r="706">
      <c r="A706" s="46"/>
      <c r="B706" s="46"/>
      <c r="C706" s="46"/>
    </row>
    <row r="707">
      <c r="A707" s="46"/>
      <c r="B707" s="46"/>
      <c r="C707" s="46"/>
    </row>
    <row r="708">
      <c r="A708" s="46"/>
      <c r="B708" s="46"/>
      <c r="C708" s="46"/>
    </row>
    <row r="709">
      <c r="A709" s="46"/>
      <c r="B709" s="46"/>
      <c r="C709" s="46"/>
    </row>
    <row r="710">
      <c r="A710" s="46"/>
      <c r="B710" s="46"/>
      <c r="C710" s="46"/>
    </row>
    <row r="711">
      <c r="A711" s="46"/>
      <c r="B711" s="46"/>
      <c r="C711" s="46"/>
    </row>
    <row r="712">
      <c r="A712" s="46"/>
      <c r="B712" s="46"/>
      <c r="C712" s="46"/>
    </row>
    <row r="713">
      <c r="A713" s="46"/>
      <c r="B713" s="46"/>
      <c r="C713" s="46"/>
    </row>
    <row r="714">
      <c r="A714" s="46"/>
      <c r="B714" s="46"/>
      <c r="C714" s="46"/>
    </row>
    <row r="715">
      <c r="A715" s="46"/>
      <c r="B715" s="46"/>
      <c r="C715" s="46"/>
    </row>
    <row r="716">
      <c r="A716" s="46"/>
      <c r="B716" s="46"/>
      <c r="C716" s="46"/>
    </row>
    <row r="717">
      <c r="A717" s="46"/>
      <c r="B717" s="46"/>
      <c r="C717" s="46"/>
    </row>
    <row r="718">
      <c r="A718" s="46"/>
      <c r="B718" s="46"/>
      <c r="C718" s="46"/>
    </row>
    <row r="719">
      <c r="A719" s="46"/>
      <c r="B719" s="46"/>
      <c r="C719" s="46"/>
    </row>
    <row r="720">
      <c r="A720" s="46"/>
      <c r="B720" s="46"/>
      <c r="C720" s="46"/>
    </row>
    <row r="721">
      <c r="A721" s="46"/>
      <c r="B721" s="46"/>
      <c r="C721" s="46"/>
    </row>
    <row r="722">
      <c r="A722" s="46"/>
      <c r="B722" s="46"/>
      <c r="C722" s="46"/>
    </row>
    <row r="723">
      <c r="A723" s="46"/>
      <c r="B723" s="46"/>
      <c r="C723" s="46"/>
    </row>
    <row r="724">
      <c r="A724" s="46"/>
      <c r="B724" s="46"/>
      <c r="C724" s="46"/>
    </row>
    <row r="725">
      <c r="A725" s="46"/>
      <c r="B725" s="46"/>
      <c r="C725" s="46"/>
    </row>
    <row r="726">
      <c r="A726" s="46"/>
      <c r="B726" s="46"/>
      <c r="C726" s="46"/>
    </row>
    <row r="727">
      <c r="A727" s="46"/>
      <c r="B727" s="46"/>
      <c r="C727" s="46"/>
    </row>
    <row r="728">
      <c r="A728" s="46"/>
      <c r="B728" s="46"/>
      <c r="C728" s="46"/>
    </row>
    <row r="729">
      <c r="A729" s="46"/>
      <c r="B729" s="46"/>
      <c r="C729" s="46"/>
    </row>
    <row r="730">
      <c r="A730" s="46"/>
      <c r="B730" s="46"/>
      <c r="C730" s="46"/>
    </row>
    <row r="731">
      <c r="A731" s="46"/>
      <c r="B731" s="46"/>
      <c r="C731" s="46"/>
    </row>
    <row r="732">
      <c r="A732" s="46"/>
      <c r="B732" s="46"/>
      <c r="C732" s="46"/>
    </row>
    <row r="733">
      <c r="A733" s="46"/>
      <c r="B733" s="46"/>
      <c r="C733" s="46"/>
    </row>
    <row r="734">
      <c r="A734" s="46"/>
      <c r="B734" s="46"/>
      <c r="C734" s="46"/>
    </row>
    <row r="735">
      <c r="A735" s="46"/>
      <c r="B735" s="46"/>
      <c r="C735" s="46"/>
    </row>
    <row r="736">
      <c r="A736" s="46"/>
      <c r="B736" s="46"/>
      <c r="C736" s="46"/>
    </row>
    <row r="737">
      <c r="A737" s="46"/>
      <c r="B737" s="46"/>
      <c r="C737" s="46"/>
    </row>
    <row r="738">
      <c r="A738" s="46"/>
      <c r="B738" s="46"/>
      <c r="C738" s="46"/>
    </row>
    <row r="739">
      <c r="A739" s="46"/>
      <c r="B739" s="46"/>
      <c r="C739" s="46"/>
    </row>
    <row r="740">
      <c r="A740" s="46"/>
      <c r="B740" s="46"/>
      <c r="C740" s="46"/>
    </row>
    <row r="741">
      <c r="A741" s="46"/>
      <c r="B741" s="46"/>
      <c r="C741" s="46"/>
    </row>
    <row r="742">
      <c r="A742" s="46"/>
      <c r="B742" s="46"/>
      <c r="C742" s="46"/>
    </row>
    <row r="743">
      <c r="A743" s="46"/>
      <c r="B743" s="46"/>
      <c r="C743" s="46"/>
    </row>
    <row r="744">
      <c r="A744" s="46"/>
      <c r="B744" s="46"/>
      <c r="C744" s="46"/>
    </row>
    <row r="745">
      <c r="A745" s="46"/>
      <c r="B745" s="46"/>
      <c r="C745" s="46"/>
    </row>
    <row r="746">
      <c r="A746" s="46"/>
      <c r="B746" s="46"/>
      <c r="C746" s="46"/>
    </row>
    <row r="747">
      <c r="A747" s="46"/>
      <c r="B747" s="46"/>
      <c r="C747" s="46"/>
    </row>
    <row r="748">
      <c r="A748" s="46"/>
      <c r="B748" s="46"/>
      <c r="C748" s="46"/>
    </row>
    <row r="749">
      <c r="A749" s="46"/>
      <c r="B749" s="46"/>
      <c r="C749" s="46"/>
    </row>
    <row r="750">
      <c r="A750" s="46"/>
      <c r="B750" s="46"/>
      <c r="C750" s="46"/>
    </row>
    <row r="751">
      <c r="A751" s="46"/>
      <c r="B751" s="46"/>
      <c r="C751" s="46"/>
    </row>
    <row r="752">
      <c r="A752" s="46"/>
      <c r="B752" s="46"/>
      <c r="C752" s="46"/>
    </row>
    <row r="753">
      <c r="A753" s="46"/>
      <c r="B753" s="46"/>
      <c r="C753" s="46"/>
    </row>
    <row r="754">
      <c r="A754" s="46"/>
      <c r="B754" s="46"/>
      <c r="C754" s="46"/>
    </row>
    <row r="755">
      <c r="A755" s="46"/>
      <c r="B755" s="46"/>
      <c r="C755" s="46"/>
    </row>
    <row r="756">
      <c r="A756" s="46"/>
      <c r="B756" s="46"/>
      <c r="C756" s="46"/>
    </row>
    <row r="757">
      <c r="A757" s="46"/>
      <c r="B757" s="46"/>
      <c r="C757" s="46"/>
    </row>
    <row r="758">
      <c r="A758" s="46"/>
      <c r="B758" s="46"/>
      <c r="C758" s="46"/>
    </row>
    <row r="759">
      <c r="A759" s="46"/>
      <c r="B759" s="46"/>
      <c r="C759" s="46"/>
    </row>
    <row r="760">
      <c r="A760" s="46"/>
      <c r="B760" s="46"/>
      <c r="C760" s="46"/>
    </row>
    <row r="761">
      <c r="A761" s="46"/>
      <c r="B761" s="46"/>
      <c r="C761" s="46"/>
    </row>
    <row r="762">
      <c r="A762" s="46"/>
      <c r="B762" s="46"/>
      <c r="C762" s="46"/>
    </row>
    <row r="763">
      <c r="A763" s="46"/>
      <c r="B763" s="46"/>
      <c r="C763" s="46"/>
    </row>
    <row r="764">
      <c r="A764" s="46"/>
      <c r="B764" s="46"/>
      <c r="C764" s="46"/>
    </row>
    <row r="765">
      <c r="A765" s="46"/>
      <c r="B765" s="46"/>
      <c r="C765" s="46"/>
    </row>
    <row r="766">
      <c r="A766" s="46"/>
      <c r="B766" s="46"/>
      <c r="C766" s="46"/>
    </row>
    <row r="767">
      <c r="A767" s="46"/>
      <c r="B767" s="46"/>
      <c r="C767" s="46"/>
    </row>
    <row r="768">
      <c r="A768" s="46"/>
      <c r="B768" s="46"/>
      <c r="C768" s="46"/>
    </row>
    <row r="769">
      <c r="A769" s="46"/>
      <c r="B769" s="46"/>
      <c r="C769" s="46"/>
    </row>
    <row r="770">
      <c r="A770" s="46"/>
      <c r="B770" s="46"/>
      <c r="C770" s="46"/>
    </row>
    <row r="771">
      <c r="A771" s="46"/>
      <c r="B771" s="46"/>
      <c r="C771" s="46"/>
    </row>
    <row r="772">
      <c r="A772" s="46"/>
      <c r="B772" s="46"/>
      <c r="C772" s="46"/>
    </row>
    <row r="773">
      <c r="A773" s="46"/>
      <c r="B773" s="46"/>
      <c r="C773" s="46"/>
    </row>
    <row r="774">
      <c r="A774" s="46"/>
      <c r="B774" s="46"/>
      <c r="C774" s="46"/>
    </row>
    <row r="775">
      <c r="A775" s="46"/>
      <c r="B775" s="46"/>
      <c r="C775" s="46"/>
    </row>
    <row r="776">
      <c r="A776" s="46"/>
      <c r="B776" s="46"/>
      <c r="C776" s="46"/>
    </row>
    <row r="777">
      <c r="A777" s="46"/>
      <c r="B777" s="46"/>
      <c r="C777" s="46"/>
    </row>
    <row r="778">
      <c r="A778" s="46"/>
      <c r="B778" s="46"/>
      <c r="C778" s="46"/>
    </row>
    <row r="779">
      <c r="A779" s="46"/>
      <c r="B779" s="46"/>
      <c r="C779" s="46"/>
    </row>
    <row r="780">
      <c r="A780" s="46"/>
      <c r="B780" s="46"/>
      <c r="C780" s="46"/>
    </row>
    <row r="781">
      <c r="A781" s="46"/>
      <c r="B781" s="46"/>
      <c r="C781" s="46"/>
    </row>
    <row r="782">
      <c r="A782" s="46"/>
      <c r="B782" s="46"/>
      <c r="C782" s="46"/>
    </row>
    <row r="783">
      <c r="A783" s="46"/>
      <c r="B783" s="46"/>
      <c r="C783" s="46"/>
    </row>
    <row r="784">
      <c r="A784" s="46"/>
      <c r="B784" s="46"/>
      <c r="C784" s="46"/>
    </row>
    <row r="785">
      <c r="A785" s="46"/>
      <c r="B785" s="46"/>
      <c r="C785" s="46"/>
    </row>
    <row r="786">
      <c r="A786" s="46"/>
      <c r="B786" s="46"/>
      <c r="C786" s="46"/>
    </row>
    <row r="787">
      <c r="A787" s="46"/>
      <c r="B787" s="46"/>
      <c r="C787" s="46"/>
    </row>
    <row r="788">
      <c r="A788" s="46"/>
      <c r="B788" s="46"/>
      <c r="C788" s="46"/>
    </row>
    <row r="789">
      <c r="A789" s="46"/>
      <c r="B789" s="46"/>
      <c r="C789" s="46"/>
    </row>
    <row r="790">
      <c r="A790" s="46"/>
      <c r="B790" s="46"/>
      <c r="C790" s="46"/>
    </row>
    <row r="791">
      <c r="A791" s="46"/>
      <c r="B791" s="46"/>
      <c r="C791" s="46"/>
    </row>
    <row r="792">
      <c r="A792" s="46"/>
      <c r="B792" s="46"/>
      <c r="C792" s="46"/>
    </row>
    <row r="793">
      <c r="A793" s="46"/>
      <c r="B793" s="46"/>
      <c r="C793" s="46"/>
    </row>
    <row r="794">
      <c r="A794" s="46"/>
      <c r="B794" s="46"/>
      <c r="C794" s="46"/>
    </row>
    <row r="795">
      <c r="A795" s="46"/>
      <c r="B795" s="46"/>
      <c r="C795" s="46"/>
    </row>
    <row r="796">
      <c r="A796" s="46"/>
      <c r="B796" s="46"/>
      <c r="C796" s="46"/>
    </row>
    <row r="797">
      <c r="A797" s="46"/>
      <c r="B797" s="46"/>
      <c r="C797" s="46"/>
    </row>
    <row r="798">
      <c r="A798" s="46"/>
      <c r="B798" s="46"/>
      <c r="C798" s="46"/>
    </row>
    <row r="799">
      <c r="A799" s="46"/>
      <c r="B799" s="46"/>
      <c r="C799" s="46"/>
    </row>
    <row r="800">
      <c r="A800" s="46"/>
      <c r="B800" s="46"/>
      <c r="C800" s="46"/>
    </row>
    <row r="801">
      <c r="A801" s="46"/>
      <c r="B801" s="46"/>
      <c r="C801" s="46"/>
    </row>
    <row r="802">
      <c r="A802" s="46"/>
      <c r="B802" s="46"/>
      <c r="C802" s="46"/>
    </row>
    <row r="803">
      <c r="A803" s="46"/>
      <c r="B803" s="46"/>
      <c r="C803" s="46"/>
    </row>
    <row r="804">
      <c r="A804" s="46"/>
      <c r="B804" s="46"/>
      <c r="C804" s="46"/>
    </row>
    <row r="805">
      <c r="A805" s="46"/>
      <c r="B805" s="46"/>
      <c r="C805" s="46"/>
    </row>
    <row r="806">
      <c r="A806" s="46"/>
      <c r="B806" s="46"/>
      <c r="C806" s="46"/>
    </row>
    <row r="807">
      <c r="A807" s="46"/>
      <c r="B807" s="46"/>
      <c r="C807" s="46"/>
    </row>
    <row r="808">
      <c r="A808" s="46"/>
      <c r="B808" s="46"/>
      <c r="C808" s="46"/>
    </row>
    <row r="809">
      <c r="A809" s="46"/>
      <c r="B809" s="46"/>
      <c r="C809" s="46"/>
    </row>
    <row r="810">
      <c r="A810" s="46"/>
      <c r="B810" s="46"/>
      <c r="C810" s="46"/>
    </row>
    <row r="811">
      <c r="A811" s="46"/>
      <c r="B811" s="46"/>
      <c r="C811" s="46"/>
    </row>
    <row r="812">
      <c r="A812" s="46"/>
      <c r="B812" s="46"/>
      <c r="C812" s="46"/>
    </row>
    <row r="813">
      <c r="A813" s="46"/>
      <c r="B813" s="46"/>
      <c r="C813" s="46"/>
    </row>
    <row r="814">
      <c r="A814" s="46"/>
      <c r="B814" s="46"/>
      <c r="C814" s="46"/>
    </row>
    <row r="815">
      <c r="A815" s="46"/>
      <c r="B815" s="46"/>
      <c r="C815" s="46"/>
    </row>
    <row r="816">
      <c r="A816" s="46"/>
      <c r="B816" s="46"/>
      <c r="C816" s="46"/>
    </row>
    <row r="817">
      <c r="A817" s="46"/>
      <c r="B817" s="46"/>
      <c r="C817" s="46"/>
    </row>
    <row r="818">
      <c r="A818" s="46"/>
      <c r="B818" s="46"/>
      <c r="C818" s="46"/>
    </row>
    <row r="819">
      <c r="A819" s="46"/>
      <c r="B819" s="46"/>
      <c r="C819" s="46"/>
    </row>
    <row r="820">
      <c r="A820" s="46"/>
      <c r="B820" s="46"/>
      <c r="C820" s="46"/>
    </row>
    <row r="821">
      <c r="A821" s="46"/>
      <c r="B821" s="46"/>
      <c r="C821" s="46"/>
    </row>
    <row r="822">
      <c r="A822" s="46"/>
      <c r="B822" s="46"/>
      <c r="C822" s="46"/>
    </row>
    <row r="823">
      <c r="A823" s="46"/>
      <c r="B823" s="46"/>
      <c r="C823" s="46"/>
    </row>
    <row r="824">
      <c r="A824" s="46"/>
      <c r="B824" s="46"/>
      <c r="C824" s="46"/>
    </row>
    <row r="825">
      <c r="A825" s="46"/>
      <c r="B825" s="46"/>
      <c r="C825" s="46"/>
    </row>
    <row r="826">
      <c r="A826" s="46"/>
      <c r="B826" s="46"/>
      <c r="C826" s="46"/>
    </row>
    <row r="827">
      <c r="A827" s="46"/>
      <c r="B827" s="46"/>
      <c r="C827" s="46"/>
    </row>
    <row r="828">
      <c r="A828" s="46"/>
      <c r="B828" s="46"/>
      <c r="C828" s="46"/>
    </row>
    <row r="829">
      <c r="A829" s="46"/>
      <c r="B829" s="46"/>
      <c r="C829" s="46"/>
    </row>
    <row r="830">
      <c r="A830" s="46"/>
      <c r="B830" s="46"/>
      <c r="C830" s="46"/>
    </row>
    <row r="831">
      <c r="A831" s="46"/>
      <c r="B831" s="46"/>
      <c r="C831" s="46"/>
    </row>
    <row r="832">
      <c r="A832" s="46"/>
      <c r="B832" s="46"/>
      <c r="C832" s="46"/>
    </row>
    <row r="833">
      <c r="A833" s="46"/>
      <c r="B833" s="46"/>
      <c r="C833" s="46"/>
    </row>
    <row r="834">
      <c r="A834" s="46"/>
      <c r="B834" s="46"/>
      <c r="C834" s="46"/>
    </row>
    <row r="835">
      <c r="A835" s="46"/>
      <c r="B835" s="46"/>
      <c r="C835" s="46"/>
    </row>
    <row r="836">
      <c r="A836" s="46"/>
      <c r="B836" s="46"/>
      <c r="C836" s="46"/>
    </row>
    <row r="837">
      <c r="A837" s="46"/>
      <c r="B837" s="46"/>
      <c r="C837" s="46"/>
    </row>
    <row r="838">
      <c r="A838" s="46"/>
      <c r="B838" s="46"/>
      <c r="C838" s="46"/>
    </row>
    <row r="839">
      <c r="A839" s="46"/>
      <c r="B839" s="46"/>
      <c r="C839" s="46"/>
    </row>
    <row r="840">
      <c r="A840" s="46"/>
      <c r="B840" s="46"/>
      <c r="C840" s="46"/>
    </row>
    <row r="841">
      <c r="A841" s="46"/>
      <c r="B841" s="46"/>
      <c r="C841" s="46"/>
    </row>
    <row r="842">
      <c r="A842" s="46"/>
      <c r="B842" s="46"/>
      <c r="C842" s="46"/>
    </row>
    <row r="843">
      <c r="A843" s="46"/>
      <c r="B843" s="46"/>
      <c r="C843" s="46"/>
    </row>
    <row r="844">
      <c r="A844" s="46"/>
      <c r="B844" s="46"/>
      <c r="C844" s="46"/>
    </row>
    <row r="845">
      <c r="A845" s="46"/>
      <c r="B845" s="46"/>
      <c r="C845" s="46"/>
    </row>
    <row r="846">
      <c r="A846" s="46"/>
      <c r="B846" s="46"/>
      <c r="C846" s="46"/>
    </row>
    <row r="847">
      <c r="A847" s="46"/>
      <c r="B847" s="46"/>
      <c r="C847" s="46"/>
    </row>
    <row r="848">
      <c r="A848" s="46"/>
      <c r="B848" s="46"/>
      <c r="C848" s="46"/>
    </row>
    <row r="849">
      <c r="A849" s="46"/>
      <c r="B849" s="46"/>
      <c r="C849" s="46"/>
    </row>
    <row r="850">
      <c r="A850" s="46"/>
      <c r="B850" s="46"/>
      <c r="C850" s="46"/>
    </row>
    <row r="851">
      <c r="A851" s="46"/>
      <c r="B851" s="46"/>
      <c r="C851" s="46"/>
    </row>
    <row r="852">
      <c r="A852" s="46"/>
      <c r="B852" s="46"/>
      <c r="C852" s="46"/>
    </row>
    <row r="853">
      <c r="A853" s="46"/>
      <c r="B853" s="46"/>
      <c r="C853" s="46"/>
    </row>
    <row r="854">
      <c r="A854" s="46"/>
      <c r="B854" s="46"/>
      <c r="C854" s="46"/>
    </row>
    <row r="855">
      <c r="A855" s="46"/>
      <c r="B855" s="46"/>
      <c r="C855" s="46"/>
    </row>
    <row r="856">
      <c r="A856" s="46"/>
      <c r="B856" s="46"/>
      <c r="C856" s="46"/>
    </row>
    <row r="857">
      <c r="A857" s="46"/>
      <c r="B857" s="46"/>
      <c r="C857" s="46"/>
    </row>
    <row r="858">
      <c r="A858" s="46"/>
      <c r="B858" s="46"/>
      <c r="C858" s="46"/>
    </row>
    <row r="859">
      <c r="A859" s="46"/>
      <c r="B859" s="46"/>
      <c r="C859" s="46"/>
    </row>
    <row r="860">
      <c r="A860" s="46"/>
      <c r="B860" s="46"/>
      <c r="C860" s="46"/>
    </row>
    <row r="861">
      <c r="A861" s="46"/>
      <c r="B861" s="46"/>
      <c r="C861" s="46"/>
    </row>
    <row r="862">
      <c r="A862" s="46"/>
      <c r="B862" s="46"/>
      <c r="C862" s="46"/>
    </row>
    <row r="863">
      <c r="A863" s="46"/>
      <c r="B863" s="46"/>
      <c r="C863" s="46"/>
    </row>
    <row r="864">
      <c r="A864" s="46"/>
      <c r="B864" s="46"/>
      <c r="C864" s="46"/>
    </row>
    <row r="865">
      <c r="A865" s="46"/>
      <c r="B865" s="46"/>
      <c r="C865" s="46"/>
    </row>
    <row r="866">
      <c r="A866" s="46"/>
      <c r="B866" s="46"/>
      <c r="C866" s="46"/>
    </row>
    <row r="867">
      <c r="A867" s="46"/>
      <c r="B867" s="46"/>
      <c r="C867" s="46"/>
    </row>
    <row r="868">
      <c r="A868" s="46"/>
      <c r="B868" s="46"/>
      <c r="C868" s="46"/>
    </row>
    <row r="869">
      <c r="A869" s="46"/>
      <c r="B869" s="46"/>
      <c r="C869" s="46"/>
    </row>
    <row r="870">
      <c r="A870" s="46"/>
      <c r="B870" s="46"/>
      <c r="C870" s="46"/>
    </row>
    <row r="871">
      <c r="A871" s="46"/>
      <c r="B871" s="46"/>
      <c r="C871" s="46"/>
    </row>
    <row r="872">
      <c r="A872" s="46"/>
      <c r="B872" s="46"/>
      <c r="C872" s="46"/>
    </row>
    <row r="873">
      <c r="A873" s="46"/>
      <c r="B873" s="46"/>
      <c r="C873" s="46"/>
    </row>
    <row r="874">
      <c r="A874" s="46"/>
      <c r="B874" s="46"/>
      <c r="C874" s="46"/>
    </row>
    <row r="875">
      <c r="A875" s="46"/>
      <c r="B875" s="46"/>
      <c r="C875" s="46"/>
    </row>
    <row r="876">
      <c r="A876" s="46"/>
      <c r="B876" s="46"/>
      <c r="C876" s="46"/>
    </row>
    <row r="877">
      <c r="A877" s="46"/>
      <c r="B877" s="46"/>
      <c r="C877" s="46"/>
    </row>
    <row r="878">
      <c r="A878" s="46"/>
      <c r="B878" s="46"/>
      <c r="C878" s="46"/>
    </row>
    <row r="879">
      <c r="A879" s="46"/>
      <c r="B879" s="46"/>
      <c r="C879" s="46"/>
    </row>
    <row r="880">
      <c r="A880" s="46"/>
      <c r="B880" s="46"/>
      <c r="C880" s="46"/>
    </row>
    <row r="881">
      <c r="A881" s="46"/>
      <c r="B881" s="46"/>
      <c r="C881" s="46"/>
    </row>
    <row r="882">
      <c r="A882" s="46"/>
      <c r="B882" s="46"/>
      <c r="C882" s="46"/>
    </row>
    <row r="883">
      <c r="A883" s="46"/>
      <c r="B883" s="46"/>
      <c r="C883" s="46"/>
    </row>
    <row r="884">
      <c r="A884" s="46"/>
      <c r="B884" s="46"/>
      <c r="C884" s="46"/>
    </row>
    <row r="885">
      <c r="A885" s="46"/>
      <c r="B885" s="46"/>
      <c r="C885" s="46"/>
    </row>
    <row r="886">
      <c r="A886" s="46"/>
      <c r="B886" s="46"/>
      <c r="C886" s="46"/>
    </row>
    <row r="887">
      <c r="A887" s="46"/>
      <c r="B887" s="46"/>
      <c r="C887" s="46"/>
    </row>
    <row r="888">
      <c r="A888" s="46"/>
      <c r="B888" s="46"/>
      <c r="C888" s="46"/>
    </row>
    <row r="889">
      <c r="A889" s="46"/>
      <c r="B889" s="46"/>
      <c r="C889" s="46"/>
    </row>
    <row r="890">
      <c r="A890" s="46"/>
      <c r="B890" s="46"/>
      <c r="C890" s="46"/>
    </row>
    <row r="891">
      <c r="A891" s="46"/>
      <c r="B891" s="46"/>
      <c r="C891" s="46"/>
    </row>
    <row r="892">
      <c r="A892" s="46"/>
      <c r="B892" s="46"/>
      <c r="C892" s="46"/>
    </row>
    <row r="893">
      <c r="A893" s="46"/>
      <c r="B893" s="46"/>
      <c r="C893" s="46"/>
    </row>
    <row r="894">
      <c r="A894" s="46"/>
      <c r="B894" s="46"/>
      <c r="C894" s="46"/>
    </row>
    <row r="895">
      <c r="A895" s="46"/>
      <c r="B895" s="46"/>
      <c r="C895" s="46"/>
    </row>
    <row r="896">
      <c r="A896" s="46"/>
      <c r="B896" s="46"/>
      <c r="C896" s="46"/>
    </row>
    <row r="897">
      <c r="A897" s="46"/>
      <c r="B897" s="46"/>
      <c r="C897" s="46"/>
    </row>
    <row r="898">
      <c r="A898" s="46"/>
      <c r="B898" s="46"/>
      <c r="C898" s="46"/>
    </row>
    <row r="899">
      <c r="A899" s="46"/>
      <c r="B899" s="46"/>
      <c r="C899" s="46"/>
    </row>
    <row r="900">
      <c r="A900" s="46"/>
      <c r="B900" s="46"/>
      <c r="C900" s="46"/>
    </row>
    <row r="901">
      <c r="A901" s="46"/>
      <c r="B901" s="46"/>
      <c r="C901" s="46"/>
    </row>
    <row r="902">
      <c r="A902" s="46"/>
      <c r="B902" s="46"/>
      <c r="C902" s="46"/>
    </row>
    <row r="903">
      <c r="A903" s="46"/>
      <c r="B903" s="46"/>
      <c r="C903" s="46"/>
    </row>
    <row r="904">
      <c r="A904" s="46"/>
      <c r="B904" s="46"/>
      <c r="C904" s="46"/>
    </row>
    <row r="905">
      <c r="A905" s="46"/>
      <c r="B905" s="46"/>
      <c r="C905" s="46"/>
    </row>
    <row r="906">
      <c r="A906" s="46"/>
      <c r="B906" s="46"/>
      <c r="C906" s="46"/>
    </row>
    <row r="907">
      <c r="A907" s="46"/>
      <c r="B907" s="46"/>
      <c r="C907" s="46"/>
    </row>
    <row r="908">
      <c r="A908" s="46"/>
      <c r="B908" s="46"/>
      <c r="C908" s="46"/>
    </row>
    <row r="909">
      <c r="A909" s="46"/>
      <c r="B909" s="46"/>
      <c r="C909" s="46"/>
    </row>
    <row r="910">
      <c r="A910" s="46"/>
      <c r="B910" s="46"/>
      <c r="C910" s="46"/>
    </row>
    <row r="911">
      <c r="A911" s="46"/>
      <c r="B911" s="46"/>
      <c r="C911" s="46"/>
    </row>
    <row r="912">
      <c r="A912" s="46"/>
      <c r="B912" s="46"/>
      <c r="C912" s="46"/>
    </row>
    <row r="913">
      <c r="A913" s="46"/>
      <c r="B913" s="46"/>
      <c r="C913" s="46"/>
    </row>
    <row r="914">
      <c r="A914" s="46"/>
      <c r="B914" s="46"/>
      <c r="C914" s="46"/>
    </row>
    <row r="915">
      <c r="A915" s="46"/>
      <c r="B915" s="46"/>
      <c r="C915" s="46"/>
    </row>
    <row r="916">
      <c r="A916" s="46"/>
      <c r="B916" s="46"/>
      <c r="C916" s="46"/>
    </row>
    <row r="917">
      <c r="A917" s="46"/>
      <c r="B917" s="46"/>
      <c r="C917" s="46"/>
    </row>
    <row r="918">
      <c r="A918" s="46"/>
      <c r="B918" s="46"/>
      <c r="C918" s="46"/>
    </row>
    <row r="919">
      <c r="A919" s="46"/>
      <c r="B919" s="46"/>
      <c r="C919" s="46"/>
    </row>
    <row r="920">
      <c r="A920" s="46"/>
      <c r="B920" s="46"/>
      <c r="C920" s="46"/>
    </row>
    <row r="921">
      <c r="A921" s="46"/>
      <c r="B921" s="46"/>
      <c r="C921" s="46"/>
    </row>
    <row r="922">
      <c r="A922" s="46"/>
      <c r="B922" s="46"/>
      <c r="C922" s="46"/>
    </row>
    <row r="923">
      <c r="A923" s="46"/>
      <c r="B923" s="46"/>
      <c r="C923" s="46"/>
    </row>
    <row r="924">
      <c r="A924" s="46"/>
      <c r="B924" s="46"/>
      <c r="C924" s="46"/>
    </row>
    <row r="925">
      <c r="A925" s="46"/>
      <c r="B925" s="46"/>
      <c r="C925" s="46"/>
    </row>
    <row r="926">
      <c r="A926" s="46"/>
      <c r="B926" s="46"/>
      <c r="C926" s="46"/>
    </row>
    <row r="927">
      <c r="A927" s="46"/>
      <c r="B927" s="46"/>
      <c r="C927" s="46"/>
    </row>
    <row r="928">
      <c r="A928" s="46"/>
      <c r="B928" s="46"/>
      <c r="C928" s="46"/>
    </row>
    <row r="929">
      <c r="A929" s="46"/>
      <c r="B929" s="46"/>
      <c r="C929" s="46"/>
    </row>
    <row r="930">
      <c r="A930" s="46"/>
      <c r="B930" s="46"/>
      <c r="C930" s="46"/>
    </row>
    <row r="931">
      <c r="A931" s="46"/>
      <c r="B931" s="46"/>
      <c r="C931" s="46"/>
    </row>
    <row r="932">
      <c r="A932" s="46"/>
      <c r="B932" s="46"/>
      <c r="C932" s="46"/>
    </row>
    <row r="933">
      <c r="A933" s="46"/>
      <c r="B933" s="46"/>
      <c r="C933" s="46"/>
    </row>
    <row r="934">
      <c r="A934" s="46"/>
      <c r="B934" s="46"/>
      <c r="C934" s="46"/>
    </row>
    <row r="935">
      <c r="A935" s="46"/>
      <c r="B935" s="46"/>
      <c r="C935" s="46"/>
    </row>
    <row r="936">
      <c r="A936" s="46"/>
      <c r="B936" s="46"/>
      <c r="C936" s="46"/>
    </row>
    <row r="937">
      <c r="A937" s="46"/>
      <c r="B937" s="46"/>
      <c r="C937" s="46"/>
    </row>
    <row r="938">
      <c r="A938" s="46"/>
      <c r="B938" s="46"/>
      <c r="C938" s="46"/>
    </row>
    <row r="939">
      <c r="A939" s="46"/>
      <c r="B939" s="46"/>
      <c r="C939" s="46"/>
    </row>
    <row r="940">
      <c r="A940" s="46"/>
      <c r="B940" s="46"/>
      <c r="C940" s="46"/>
    </row>
    <row r="941">
      <c r="A941" s="46"/>
      <c r="B941" s="46"/>
      <c r="C941" s="46"/>
    </row>
    <row r="942">
      <c r="A942" s="46"/>
      <c r="B942" s="46"/>
      <c r="C942" s="46"/>
    </row>
    <row r="943">
      <c r="A943" s="46"/>
      <c r="B943" s="46"/>
      <c r="C943" s="46"/>
    </row>
    <row r="944">
      <c r="A944" s="46"/>
      <c r="B944" s="46"/>
      <c r="C944" s="46"/>
    </row>
    <row r="945">
      <c r="A945" s="46"/>
      <c r="B945" s="46"/>
      <c r="C945" s="46"/>
    </row>
    <row r="946">
      <c r="A946" s="46"/>
      <c r="B946" s="46"/>
      <c r="C946" s="46"/>
    </row>
    <row r="947">
      <c r="A947" s="46"/>
      <c r="B947" s="46"/>
      <c r="C947" s="46"/>
    </row>
    <row r="948">
      <c r="A948" s="46"/>
      <c r="B948" s="46"/>
      <c r="C948" s="46"/>
    </row>
    <row r="949">
      <c r="A949" s="46"/>
      <c r="B949" s="46"/>
      <c r="C949" s="46"/>
    </row>
    <row r="950">
      <c r="A950" s="46"/>
      <c r="B950" s="46"/>
      <c r="C950" s="46"/>
    </row>
    <row r="951">
      <c r="A951" s="46"/>
      <c r="B951" s="46"/>
      <c r="C951" s="46"/>
    </row>
    <row r="952">
      <c r="A952" s="46"/>
      <c r="B952" s="46"/>
      <c r="C952" s="46"/>
    </row>
    <row r="953">
      <c r="A953" s="46"/>
      <c r="B953" s="46"/>
      <c r="C953" s="46"/>
    </row>
    <row r="954">
      <c r="A954" s="46"/>
      <c r="B954" s="46"/>
      <c r="C954" s="46"/>
    </row>
    <row r="955">
      <c r="A955" s="46"/>
      <c r="B955" s="46"/>
      <c r="C955" s="46"/>
    </row>
    <row r="956">
      <c r="A956" s="46"/>
      <c r="B956" s="46"/>
      <c r="C956" s="46"/>
    </row>
    <row r="957">
      <c r="A957" s="46"/>
      <c r="B957" s="46"/>
      <c r="C957" s="46"/>
    </row>
    <row r="958">
      <c r="A958" s="46"/>
      <c r="B958" s="46"/>
      <c r="C958" s="46"/>
    </row>
    <row r="959">
      <c r="A959" s="46"/>
      <c r="B959" s="46"/>
      <c r="C959" s="46"/>
    </row>
    <row r="960">
      <c r="A960" s="46"/>
      <c r="B960" s="46"/>
      <c r="C960" s="46"/>
    </row>
    <row r="961">
      <c r="A961" s="46"/>
      <c r="B961" s="46"/>
      <c r="C961" s="46"/>
    </row>
    <row r="962">
      <c r="A962" s="46"/>
      <c r="B962" s="46"/>
      <c r="C962" s="46"/>
    </row>
    <row r="963">
      <c r="A963" s="46"/>
      <c r="B963" s="46"/>
      <c r="C963" s="46"/>
    </row>
    <row r="964">
      <c r="A964" s="46"/>
      <c r="B964" s="46"/>
      <c r="C964" s="46"/>
    </row>
    <row r="965">
      <c r="A965" s="46"/>
      <c r="B965" s="46"/>
      <c r="C965" s="46"/>
    </row>
    <row r="966">
      <c r="A966" s="46"/>
      <c r="B966" s="46"/>
      <c r="C966" s="46"/>
    </row>
    <row r="967">
      <c r="A967" s="46"/>
      <c r="B967" s="46"/>
      <c r="C967" s="46"/>
    </row>
    <row r="968">
      <c r="A968" s="46"/>
      <c r="B968" s="46"/>
      <c r="C968" s="46"/>
    </row>
    <row r="969">
      <c r="A969" s="46"/>
      <c r="B969" s="46"/>
      <c r="C969" s="46"/>
    </row>
    <row r="970">
      <c r="A970" s="46"/>
      <c r="B970" s="46"/>
      <c r="C970" s="46"/>
    </row>
    <row r="971">
      <c r="A971" s="46"/>
      <c r="B971" s="46"/>
      <c r="C971" s="46"/>
    </row>
    <row r="972">
      <c r="A972" s="46"/>
      <c r="B972" s="46"/>
      <c r="C972" s="46"/>
    </row>
    <row r="973">
      <c r="A973" s="46"/>
      <c r="B973" s="46"/>
      <c r="C973" s="46"/>
    </row>
    <row r="974">
      <c r="A974" s="46"/>
      <c r="B974" s="46"/>
      <c r="C974" s="46"/>
    </row>
    <row r="975">
      <c r="A975" s="46"/>
      <c r="B975" s="46"/>
      <c r="C975" s="46"/>
    </row>
    <row r="976">
      <c r="A976" s="46"/>
      <c r="B976" s="46"/>
      <c r="C976" s="46"/>
    </row>
    <row r="977">
      <c r="A977" s="46"/>
      <c r="B977" s="46"/>
      <c r="C977" s="46"/>
    </row>
    <row r="978">
      <c r="A978" s="46"/>
      <c r="B978" s="46"/>
      <c r="C978" s="46"/>
    </row>
    <row r="979">
      <c r="A979" s="46"/>
      <c r="B979" s="46"/>
      <c r="C979" s="46"/>
    </row>
    <row r="980">
      <c r="A980" s="46"/>
      <c r="B980" s="46"/>
      <c r="C980" s="46"/>
    </row>
    <row r="981">
      <c r="A981" s="46"/>
      <c r="B981" s="46"/>
      <c r="C981" s="46"/>
    </row>
    <row r="982">
      <c r="A982" s="46"/>
      <c r="B982" s="46"/>
      <c r="C982" s="46"/>
    </row>
    <row r="983">
      <c r="A983" s="46"/>
      <c r="B983" s="46"/>
      <c r="C983" s="46"/>
    </row>
    <row r="984">
      <c r="A984" s="46"/>
      <c r="B984" s="46"/>
      <c r="C984" s="46"/>
    </row>
    <row r="985">
      <c r="A985" s="46"/>
      <c r="B985" s="46"/>
      <c r="C985" s="46"/>
    </row>
    <row r="986">
      <c r="A986" s="46"/>
      <c r="B986" s="46"/>
      <c r="C986" s="46"/>
    </row>
    <row r="987">
      <c r="A987" s="46"/>
      <c r="B987" s="46"/>
      <c r="C987" s="46"/>
    </row>
    <row r="988">
      <c r="A988" s="46"/>
      <c r="B988" s="46"/>
      <c r="C988" s="46"/>
    </row>
    <row r="989">
      <c r="A989" s="46"/>
      <c r="B989" s="46"/>
      <c r="C989" s="46"/>
    </row>
    <row r="990">
      <c r="A990" s="46"/>
      <c r="B990" s="46"/>
      <c r="C990" s="46"/>
    </row>
    <row r="991">
      <c r="A991" s="46"/>
      <c r="B991" s="46"/>
      <c r="C991" s="46"/>
    </row>
    <row r="992">
      <c r="A992" s="46"/>
      <c r="B992" s="46"/>
      <c r="C992" s="46"/>
    </row>
    <row r="993">
      <c r="A993" s="46"/>
      <c r="B993" s="46"/>
      <c r="C993" s="46"/>
    </row>
    <row r="994">
      <c r="A994" s="46"/>
      <c r="B994" s="46"/>
      <c r="C994" s="46"/>
    </row>
    <row r="995">
      <c r="A995" s="46"/>
      <c r="B995" s="46"/>
      <c r="C995" s="46"/>
    </row>
    <row r="996">
      <c r="A996" s="46"/>
      <c r="B996" s="46"/>
      <c r="C996" s="46"/>
    </row>
    <row r="997">
      <c r="A997" s="46"/>
      <c r="B997" s="46"/>
      <c r="C997" s="46"/>
    </row>
    <row r="998">
      <c r="A998" s="46"/>
      <c r="B998" s="46"/>
      <c r="C998" s="46"/>
    </row>
    <row r="999">
      <c r="A999" s="46"/>
      <c r="B999" s="46"/>
      <c r="C999" s="46"/>
    </row>
    <row r="1000">
      <c r="A1000" s="46"/>
      <c r="B1000" s="46"/>
      <c r="C1000" s="4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31</v>
      </c>
      <c r="B1" s="28" t="s">
        <v>32</v>
      </c>
      <c r="C1" s="28" t="s">
        <v>33</v>
      </c>
      <c r="D1" s="60" t="s">
        <v>54</v>
      </c>
      <c r="E1" s="60" t="s">
        <v>55</v>
      </c>
      <c r="F1" s="60" t="s">
        <v>56</v>
      </c>
      <c r="H1" s="61"/>
      <c r="I1" s="62" t="s">
        <v>32</v>
      </c>
      <c r="J1" s="63" t="s">
        <v>33</v>
      </c>
    </row>
    <row r="2">
      <c r="A2" s="32">
        <v>1.0</v>
      </c>
      <c r="B2" s="33">
        <v>0.0264818880351263</v>
      </c>
      <c r="C2" s="33">
        <v>0.06259595254710404</v>
      </c>
      <c r="D2" s="42">
        <f t="shared" ref="D2:E2" si="1">B2-AVERAGE(B:B)</f>
        <v>0.02259746259</v>
      </c>
      <c r="E2" s="42">
        <f t="shared" si="1"/>
        <v>0.06024168362</v>
      </c>
      <c r="F2" s="64">
        <f t="shared" ref="F2:F53" si="3">D2*E2</f>
        <v>0.001361309192</v>
      </c>
      <c r="H2" s="65" t="s">
        <v>57</v>
      </c>
      <c r="I2" s="66">
        <f>_xlfn.COVARIANCE.S(B:B,C:C)</f>
        <v>0.0002160522876</v>
      </c>
      <c r="J2" s="67"/>
    </row>
    <row r="3">
      <c r="A3" s="32">
        <v>2.0</v>
      </c>
      <c r="B3" s="33">
        <v>0.03463940942646215</v>
      </c>
      <c r="C3" s="33">
        <v>-0.011860433043718088</v>
      </c>
      <c r="D3" s="42">
        <f t="shared" ref="D3:E3" si="2">B3-AVERAGE(B:B)</f>
        <v>0.03075498398</v>
      </c>
      <c r="E3" s="42">
        <f t="shared" si="2"/>
        <v>-0.01421470197</v>
      </c>
      <c r="F3" s="64">
        <f t="shared" si="3"/>
        <v>-0.0004371729315</v>
      </c>
      <c r="H3" s="65" t="s">
        <v>58</v>
      </c>
      <c r="I3" s="65">
        <f>CORREL(B:B,C:C)</f>
        <v>0.3747577115</v>
      </c>
      <c r="J3" s="68"/>
    </row>
    <row r="4">
      <c r="A4" s="32">
        <v>3.0</v>
      </c>
      <c r="B4" s="33">
        <v>-9.927669834066677E-4</v>
      </c>
      <c r="C4" s="33">
        <v>0.045792168457489124</v>
      </c>
      <c r="D4" s="42">
        <f t="shared" ref="D4:E4" si="4">B4-AVERAGE(B:B)</f>
        <v>-0.004877192429</v>
      </c>
      <c r="E4" s="42">
        <f t="shared" si="4"/>
        <v>0.04343789953</v>
      </c>
      <c r="F4" s="64">
        <f t="shared" si="3"/>
        <v>-0.0002118549947</v>
      </c>
      <c r="H4" s="68"/>
      <c r="I4" s="68"/>
      <c r="J4" s="68"/>
    </row>
    <row r="5">
      <c r="A5" s="32">
        <v>4.0</v>
      </c>
      <c r="B5" s="33">
        <v>0.02010995370370372</v>
      </c>
      <c r="C5" s="33">
        <v>-0.016315528126551793</v>
      </c>
      <c r="D5" s="42">
        <f t="shared" ref="D5:E5" si="5">B5-AVERAGE(B:B)</f>
        <v>0.01622552826</v>
      </c>
      <c r="E5" s="42">
        <f t="shared" si="5"/>
        <v>-0.01866979706</v>
      </c>
      <c r="F5" s="64">
        <f t="shared" si="3"/>
        <v>-0.0003029273197</v>
      </c>
      <c r="H5" s="65" t="s">
        <v>59</v>
      </c>
      <c r="I5" s="66">
        <f>SUM(F:F)/51</f>
        <v>0.0002119952816</v>
      </c>
      <c r="J5" s="67"/>
    </row>
    <row r="6">
      <c r="A6" s="32">
        <v>5.0</v>
      </c>
      <c r="B6" s="33">
        <v>-0.010734220695577501</v>
      </c>
      <c r="C6" s="33">
        <v>-0.010806259209879987</v>
      </c>
      <c r="D6" s="42">
        <f t="shared" ref="D6:E6" si="6">B6-AVERAGE(B:B)</f>
        <v>-0.01461864614</v>
      </c>
      <c r="E6" s="42">
        <f t="shared" si="6"/>
        <v>-0.01316052814</v>
      </c>
      <c r="F6" s="64">
        <f t="shared" si="3"/>
        <v>0.0001923891039</v>
      </c>
      <c r="H6" s="65" t="s">
        <v>60</v>
      </c>
      <c r="I6" s="65">
        <f t="shared" ref="I6:J6" si="7">_xlfn.STDEV.S(B:B)</f>
        <v>0.02024157444</v>
      </c>
      <c r="J6" s="65">
        <f t="shared" si="7"/>
        <v>0.02848157494</v>
      </c>
    </row>
    <row r="7">
      <c r="A7" s="32">
        <v>6.0</v>
      </c>
      <c r="B7" s="33">
        <v>-0.002711961176134703</v>
      </c>
      <c r="C7" s="33">
        <v>-0.029553966632618334</v>
      </c>
      <c r="D7" s="42">
        <f t="shared" ref="D7:E7" si="8">B7-AVERAGE(B:B)</f>
        <v>-0.006596386622</v>
      </c>
      <c r="E7" s="42">
        <f t="shared" si="8"/>
        <v>-0.03190823556</v>
      </c>
      <c r="F7" s="64">
        <f t="shared" si="3"/>
        <v>0.0002104790582</v>
      </c>
    </row>
    <row r="8">
      <c r="A8" s="32">
        <v>7.0</v>
      </c>
      <c r="B8" s="33">
        <v>-0.006522972206466138</v>
      </c>
      <c r="C8" s="33">
        <v>-0.016541655504955788</v>
      </c>
      <c r="D8" s="42">
        <f t="shared" ref="D8:E8" si="9">B8-AVERAGE(B:B)</f>
        <v>-0.01040739765</v>
      </c>
      <c r="E8" s="42">
        <f t="shared" si="9"/>
        <v>-0.01889592443</v>
      </c>
      <c r="F8" s="64">
        <f t="shared" si="3"/>
        <v>0.0001966573996</v>
      </c>
    </row>
    <row r="9">
      <c r="A9" s="32">
        <v>8.0</v>
      </c>
      <c r="B9" s="33">
        <v>0.014530283412458544</v>
      </c>
      <c r="C9" s="33">
        <v>0.04903751580722204</v>
      </c>
      <c r="D9" s="42">
        <f t="shared" ref="D9:E9" si="10">B9-AVERAGE(B:B)</f>
        <v>0.01064585797</v>
      </c>
      <c r="E9" s="42">
        <f t="shared" si="10"/>
        <v>0.04668324688</v>
      </c>
      <c r="F9" s="64">
        <f t="shared" si="3"/>
        <v>0.0004969832157</v>
      </c>
    </row>
    <row r="10">
      <c r="A10" s="32">
        <v>9.0</v>
      </c>
      <c r="B10" s="33">
        <v>-0.04269384382316477</v>
      </c>
      <c r="C10" s="33">
        <v>-0.025001712446057978</v>
      </c>
      <c r="D10" s="42">
        <f t="shared" ref="D10:E10" si="11">B10-AVERAGE(B:B)</f>
        <v>-0.04657826927</v>
      </c>
      <c r="E10" s="42">
        <f t="shared" si="11"/>
        <v>-0.02735598138</v>
      </c>
      <c r="F10" s="64">
        <f t="shared" si="3"/>
        <v>0.001274194267</v>
      </c>
    </row>
    <row r="11">
      <c r="A11" s="32">
        <v>10.0</v>
      </c>
      <c r="B11" s="33">
        <v>0.0023467697404748744</v>
      </c>
      <c r="C11" s="33">
        <v>0.016431107707303605</v>
      </c>
      <c r="D11" s="42">
        <f t="shared" ref="D11:E11" si="12">B11-AVERAGE(B:B)</f>
        <v>-0.001537655705</v>
      </c>
      <c r="E11" s="42">
        <f t="shared" si="12"/>
        <v>0.01407683878</v>
      </c>
      <c r="F11" s="64">
        <f t="shared" si="3"/>
        <v>-0.00002164533145</v>
      </c>
    </row>
    <row r="12">
      <c r="A12" s="32">
        <v>11.0</v>
      </c>
      <c r="B12" s="33">
        <v>0.025191055759977266</v>
      </c>
      <c r="C12" s="33">
        <v>0.0032830399552947753</v>
      </c>
      <c r="D12" s="42">
        <f t="shared" ref="D12:E12" si="13">B12-AVERAGE(B:B)</f>
        <v>0.02130663031</v>
      </c>
      <c r="E12" s="42">
        <f t="shared" si="13"/>
        <v>0.0009287710262</v>
      </c>
      <c r="F12" s="64">
        <f t="shared" si="3"/>
        <v>0.0000197889809</v>
      </c>
    </row>
    <row r="13">
      <c r="A13" s="32">
        <v>12.0</v>
      </c>
      <c r="B13" s="33">
        <v>0.008564087924636032</v>
      </c>
      <c r="C13" s="33">
        <v>0.020312165918323632</v>
      </c>
      <c r="D13" s="42">
        <f t="shared" ref="D13:E13" si="14">B13-AVERAGE(B:B)</f>
        <v>0.004679662479</v>
      </c>
      <c r="E13" s="42">
        <f t="shared" si="14"/>
        <v>0.01795789699</v>
      </c>
      <c r="F13" s="64">
        <f t="shared" si="3"/>
        <v>0.00008403689675</v>
      </c>
    </row>
    <row r="14">
      <c r="A14" s="32">
        <v>13.0</v>
      </c>
      <c r="B14" s="33">
        <v>0.0239695995323006</v>
      </c>
      <c r="C14" s="33">
        <v>-0.02147988004742296</v>
      </c>
      <c r="D14" s="42">
        <f t="shared" ref="D14:E14" si="15">B14-AVERAGE(B:B)</f>
        <v>0.02008517409</v>
      </c>
      <c r="E14" s="42">
        <f t="shared" si="15"/>
        <v>-0.02383414898</v>
      </c>
      <c r="F14" s="64">
        <f t="shared" si="3"/>
        <v>-0.0004787130314</v>
      </c>
    </row>
    <row r="15">
      <c r="A15" s="32">
        <v>14.0</v>
      </c>
      <c r="B15" s="33">
        <v>-0.011557353366079104</v>
      </c>
      <c r="C15" s="33">
        <v>-0.036033613445378254</v>
      </c>
      <c r="D15" s="42">
        <f t="shared" ref="D15:E15" si="16">B15-AVERAGE(B:B)</f>
        <v>-0.01544177881</v>
      </c>
      <c r="E15" s="42">
        <f t="shared" si="16"/>
        <v>-0.03838788237</v>
      </c>
      <c r="F15" s="64">
        <f t="shared" si="3"/>
        <v>0.0005927771887</v>
      </c>
    </row>
    <row r="16">
      <c r="A16" s="32">
        <v>15.0</v>
      </c>
      <c r="B16" s="33">
        <v>0.018540317834019993</v>
      </c>
      <c r="C16" s="33">
        <v>-0.014051832703652178</v>
      </c>
      <c r="D16" s="42">
        <f t="shared" ref="D16:E16" si="17">B16-AVERAGE(B:B)</f>
        <v>0.01465589239</v>
      </c>
      <c r="E16" s="42">
        <f t="shared" si="17"/>
        <v>-0.01640610163</v>
      </c>
      <c r="F16" s="64">
        <f t="shared" si="3"/>
        <v>-0.00024044606</v>
      </c>
    </row>
    <row r="17">
      <c r="A17" s="32">
        <v>16.0</v>
      </c>
      <c r="B17" s="33">
        <v>0.02088027640078116</v>
      </c>
      <c r="C17" s="33">
        <v>0.024166723236711762</v>
      </c>
      <c r="D17" s="42">
        <f t="shared" ref="D17:E17" si="18">B17-AVERAGE(B:B)</f>
        <v>0.01699585096</v>
      </c>
      <c r="E17" s="42">
        <f t="shared" si="18"/>
        <v>0.02181245431</v>
      </c>
      <c r="F17" s="64">
        <f t="shared" si="3"/>
        <v>0.0003707212224</v>
      </c>
    </row>
    <row r="18">
      <c r="A18" s="32">
        <v>17.0</v>
      </c>
      <c r="B18" s="33">
        <v>0.005741048496751722</v>
      </c>
      <c r="C18" s="33">
        <v>0.057046498277841584</v>
      </c>
      <c r="D18" s="42">
        <f t="shared" ref="D18:E18" si="19">B18-AVERAGE(B:B)</f>
        <v>0.001856623051</v>
      </c>
      <c r="E18" s="42">
        <f t="shared" si="19"/>
        <v>0.05469222935</v>
      </c>
      <c r="F18" s="64">
        <f t="shared" si="3"/>
        <v>0.0001015428537</v>
      </c>
    </row>
    <row r="19">
      <c r="A19" s="32">
        <v>18.0</v>
      </c>
      <c r="B19" s="33">
        <v>0.015028369881920023</v>
      </c>
      <c r="C19" s="33">
        <v>0.010953935437069351</v>
      </c>
      <c r="D19" s="42">
        <f t="shared" ref="D19:E19" si="20">B19-AVERAGE(B:B)</f>
        <v>0.01114394444</v>
      </c>
      <c r="E19" s="42">
        <f t="shared" si="20"/>
        <v>0.008599666508</v>
      </c>
      <c r="F19" s="64">
        <f t="shared" si="3"/>
        <v>0.00009583420574</v>
      </c>
    </row>
    <row r="20">
      <c r="A20" s="32">
        <v>19.0</v>
      </c>
      <c r="B20" s="33">
        <v>-0.0038191261839291</v>
      </c>
      <c r="C20" s="33">
        <v>-0.009271237602414772</v>
      </c>
      <c r="D20" s="42">
        <f t="shared" ref="D20:E20" si="21">B20-AVERAGE(B:B)</f>
        <v>-0.007703551629</v>
      </c>
      <c r="E20" s="42">
        <f t="shared" si="21"/>
        <v>-0.01162550653</v>
      </c>
      <c r="F20" s="64">
        <f t="shared" si="3"/>
        <v>0.00008955768978</v>
      </c>
    </row>
    <row r="21">
      <c r="A21" s="32">
        <v>20.0</v>
      </c>
      <c r="B21" s="33">
        <v>-0.008782556026650679</v>
      </c>
      <c r="C21" s="33">
        <v>-0.01235093696763212</v>
      </c>
      <c r="D21" s="42">
        <f t="shared" ref="D21:E21" si="22">B21-AVERAGE(B:B)</f>
        <v>-0.01266698147</v>
      </c>
      <c r="E21" s="42">
        <f t="shared" si="22"/>
        <v>-0.0147052059</v>
      </c>
      <c r="F21" s="64">
        <f t="shared" si="3"/>
        <v>0.0001862705706</v>
      </c>
    </row>
    <row r="22">
      <c r="A22" s="32">
        <v>21.0</v>
      </c>
      <c r="B22" s="33">
        <v>-0.013886814991787233</v>
      </c>
      <c r="C22" s="33">
        <v>-0.009978917779339569</v>
      </c>
      <c r="D22" s="42">
        <f t="shared" ref="D22:E22" si="23">B22-AVERAGE(B:B)</f>
        <v>-0.01777124044</v>
      </c>
      <c r="E22" s="42">
        <f t="shared" si="23"/>
        <v>-0.01233318671</v>
      </c>
      <c r="F22" s="64">
        <f t="shared" si="3"/>
        <v>0.0002191760264</v>
      </c>
    </row>
    <row r="23">
      <c r="A23" s="32">
        <v>22.0</v>
      </c>
      <c r="B23" s="33">
        <v>-0.015002206206795043</v>
      </c>
      <c r="C23" s="33">
        <v>-0.015156758253166314</v>
      </c>
      <c r="D23" s="42">
        <f t="shared" ref="D23:E23" si="24">B23-AVERAGE(B:B)</f>
        <v>-0.01888663165</v>
      </c>
      <c r="E23" s="42">
        <f t="shared" si="24"/>
        <v>-0.01751102718</v>
      </c>
      <c r="F23" s="64">
        <f t="shared" si="3"/>
        <v>0.0003307243202</v>
      </c>
    </row>
    <row r="24">
      <c r="A24" s="32">
        <v>23.0</v>
      </c>
      <c r="B24" s="33">
        <v>-0.016206048328751277</v>
      </c>
      <c r="C24" s="33">
        <v>-0.006668499931252625</v>
      </c>
      <c r="D24" s="42">
        <f t="shared" ref="D24:E24" si="25">B24-AVERAGE(B:B)</f>
        <v>-0.02009047377</v>
      </c>
      <c r="E24" s="42">
        <f t="shared" si="25"/>
        <v>-0.00902276886</v>
      </c>
      <c r="F24" s="64">
        <f t="shared" si="3"/>
        <v>0.0001812717012</v>
      </c>
    </row>
    <row r="25">
      <c r="A25" s="32">
        <v>24.0</v>
      </c>
      <c r="B25" s="33">
        <v>0.003047895500725595</v>
      </c>
      <c r="C25" s="33">
        <v>-0.0049935016074970084</v>
      </c>
      <c r="D25" s="42">
        <f t="shared" ref="D25:E25" si="26">B25-AVERAGE(B:B)</f>
        <v>-0.0008365299447</v>
      </c>
      <c r="E25" s="42">
        <f t="shared" si="26"/>
        <v>-0.007347770537</v>
      </c>
      <c r="F25" s="64">
        <f t="shared" si="3"/>
        <v>0.00000614663008</v>
      </c>
    </row>
    <row r="26">
      <c r="A26" s="32">
        <v>25.0</v>
      </c>
      <c r="B26" s="33">
        <v>-0.006058857472590717</v>
      </c>
      <c r="C26" s="33">
        <v>0.03570669500531354</v>
      </c>
      <c r="D26" s="42">
        <f t="shared" ref="D26:E26" si="27">B26-AVERAGE(B:B)</f>
        <v>-0.009943282918</v>
      </c>
      <c r="E26" s="42">
        <f t="shared" si="27"/>
        <v>0.03335242608</v>
      </c>
      <c r="F26" s="64">
        <f t="shared" si="3"/>
        <v>-0.0003316326085</v>
      </c>
    </row>
    <row r="27">
      <c r="A27" s="32">
        <v>26.0</v>
      </c>
      <c r="B27" s="33">
        <v>0.02151488358384901</v>
      </c>
      <c r="C27" s="33">
        <v>0.04254376246399305</v>
      </c>
      <c r="D27" s="42">
        <f t="shared" ref="D27:E27" si="28">B27-AVERAGE(B:B)</f>
        <v>0.01763045814</v>
      </c>
      <c r="E27" s="42">
        <f t="shared" si="28"/>
        <v>0.04018949353</v>
      </c>
      <c r="F27" s="64">
        <f t="shared" si="3"/>
        <v>0.0007085591834</v>
      </c>
    </row>
    <row r="28">
      <c r="A28" s="32">
        <v>27.0</v>
      </c>
      <c r="B28" s="33">
        <v>-0.004401408450704136</v>
      </c>
      <c r="C28" s="33">
        <v>-0.029044750430292643</v>
      </c>
      <c r="D28" s="42">
        <f t="shared" ref="D28:E28" si="29">B28-AVERAGE(B:B)</f>
        <v>-0.008285833896</v>
      </c>
      <c r="E28" s="42">
        <f t="shared" si="29"/>
        <v>-0.03139901936</v>
      </c>
      <c r="F28" s="64">
        <f t="shared" si="3"/>
        <v>0.0002601670589</v>
      </c>
    </row>
    <row r="29">
      <c r="A29" s="32">
        <v>28.0</v>
      </c>
      <c r="B29" s="33">
        <v>-0.009734127560656725</v>
      </c>
      <c r="C29" s="33">
        <v>0.0015082956259426794</v>
      </c>
      <c r="D29" s="42">
        <f t="shared" ref="D29:E29" si="30">B29-AVERAGE(B:B)</f>
        <v>-0.01361855301</v>
      </c>
      <c r="E29" s="42">
        <f t="shared" si="30"/>
        <v>-0.0008459733032</v>
      </c>
      <c r="F29" s="64">
        <f t="shared" si="3"/>
        <v>0.00001152093227</v>
      </c>
    </row>
    <row r="30">
      <c r="A30" s="32">
        <v>29.0</v>
      </c>
      <c r="B30" s="33">
        <v>-2.904865649963062E-4</v>
      </c>
      <c r="C30" s="33">
        <v>0.05894432613325229</v>
      </c>
      <c r="D30" s="42">
        <f t="shared" ref="D30:E30" si="31">B30-AVERAGE(B:B)</f>
        <v>-0.00417491201</v>
      </c>
      <c r="E30" s="42">
        <f t="shared" si="31"/>
        <v>0.0565900572</v>
      </c>
      <c r="F30" s="64">
        <f t="shared" si="3"/>
        <v>-0.0002362585095</v>
      </c>
    </row>
    <row r="31">
      <c r="A31" s="32">
        <v>30.0</v>
      </c>
      <c r="B31" s="33">
        <v>-0.020765182762053858</v>
      </c>
      <c r="C31" s="33">
        <v>-8.359297818983924E-4</v>
      </c>
      <c r="D31" s="42">
        <f t="shared" ref="D31:E31" si="32">B31-AVERAGE(B:B)</f>
        <v>-0.02464960821</v>
      </c>
      <c r="E31" s="42">
        <f t="shared" si="32"/>
        <v>-0.003190198711</v>
      </c>
      <c r="F31" s="64">
        <f t="shared" si="3"/>
        <v>0.00007863714833</v>
      </c>
    </row>
    <row r="32">
      <c r="A32" s="32">
        <v>31.0</v>
      </c>
      <c r="B32" s="33">
        <v>0.014427932477276029</v>
      </c>
      <c r="C32" s="33">
        <v>0.03305071439786467</v>
      </c>
      <c r="D32" s="42">
        <f t="shared" ref="D32:E32" si="33">B32-AVERAGE(B:B)</f>
        <v>0.01054350703</v>
      </c>
      <c r="E32" s="42">
        <f t="shared" si="33"/>
        <v>0.03069644547</v>
      </c>
      <c r="F32" s="64">
        <f t="shared" si="3"/>
        <v>0.0003236481887</v>
      </c>
    </row>
    <row r="33">
      <c r="A33" s="32">
        <v>32.0</v>
      </c>
      <c r="B33" s="33">
        <v>0.02166863207547176</v>
      </c>
      <c r="C33" s="33">
        <v>0.015303682448589262</v>
      </c>
      <c r="D33" s="42">
        <f t="shared" ref="D33:E33" si="34">B33-AVERAGE(B:B)</f>
        <v>0.01778420663</v>
      </c>
      <c r="E33" s="42">
        <f t="shared" si="34"/>
        <v>0.01294941352</v>
      </c>
      <c r="F33" s="64">
        <f t="shared" si="3"/>
        <v>0.0002302950458</v>
      </c>
    </row>
    <row r="34">
      <c r="A34" s="32">
        <v>33.0</v>
      </c>
      <c r="B34" s="33">
        <v>-0.02374442365808016</v>
      </c>
      <c r="C34" s="33">
        <v>-0.01360169824671753</v>
      </c>
      <c r="D34" s="42">
        <f t="shared" ref="D34:E34" si="35">B34-AVERAGE(B:B)</f>
        <v>-0.0276288491</v>
      </c>
      <c r="E34" s="42">
        <f t="shared" si="35"/>
        <v>-0.01595596718</v>
      </c>
      <c r="F34" s="64">
        <f t="shared" si="3"/>
        <v>0.0004408450094</v>
      </c>
    </row>
    <row r="35">
      <c r="A35" s="32">
        <v>34.0</v>
      </c>
      <c r="B35" s="33">
        <v>-0.004726439415640216</v>
      </c>
      <c r="C35" s="33">
        <v>0.017357222844344822</v>
      </c>
      <c r="D35" s="42">
        <f t="shared" ref="D35:E35" si="36">B35-AVERAGE(B:B)</f>
        <v>-0.008610864861</v>
      </c>
      <c r="E35" s="42">
        <f t="shared" si="36"/>
        <v>0.01500295392</v>
      </c>
      <c r="F35" s="64">
        <f t="shared" si="3"/>
        <v>-0.0001291884087</v>
      </c>
    </row>
    <row r="36">
      <c r="A36" s="32">
        <v>35.0</v>
      </c>
      <c r="B36" s="33">
        <v>-0.01034727143869607</v>
      </c>
      <c r="C36" s="33">
        <v>-0.01083946514755918</v>
      </c>
      <c r="D36" s="42">
        <f t="shared" ref="D36:E36" si="37">B36-AVERAGE(B:B)</f>
        <v>-0.01423169688</v>
      </c>
      <c r="E36" s="42">
        <f t="shared" si="37"/>
        <v>-0.01319373408</v>
      </c>
      <c r="F36" s="64">
        <f t="shared" si="3"/>
        <v>0.0001877692241</v>
      </c>
    </row>
    <row r="37">
      <c r="A37" s="32">
        <v>36.0</v>
      </c>
      <c r="B37" s="33">
        <v>0.0045564573544067954</v>
      </c>
      <c r="C37" s="33">
        <v>0.016323576712769405</v>
      </c>
      <c r="D37" s="42">
        <f t="shared" ref="D37:E37" si="38">B37-AVERAGE(B:B)</f>
        <v>0.000672031909</v>
      </c>
      <c r="E37" s="42">
        <f t="shared" si="38"/>
        <v>0.01396930778</v>
      </c>
      <c r="F37" s="64">
        <f t="shared" si="3"/>
        <v>0.000009387820578</v>
      </c>
    </row>
    <row r="38">
      <c r="A38" s="32">
        <v>37.0</v>
      </c>
      <c r="B38" s="33">
        <v>-0.0031227821149751867</v>
      </c>
      <c r="C38" s="33">
        <v>-0.020015760441292385</v>
      </c>
      <c r="D38" s="42">
        <f t="shared" ref="D38:E38" si="39">B38-AVERAGE(B:B)</f>
        <v>-0.00700720756</v>
      </c>
      <c r="E38" s="42">
        <f t="shared" si="39"/>
        <v>-0.02237002937</v>
      </c>
      <c r="F38" s="64">
        <f t="shared" si="3"/>
        <v>0.0001567514389</v>
      </c>
    </row>
    <row r="39">
      <c r="A39" s="32">
        <v>38.0</v>
      </c>
      <c r="B39" s="33">
        <v>0.021014492753623326</v>
      </c>
      <c r="C39" s="33">
        <v>0.011800350821240757</v>
      </c>
      <c r="D39" s="42">
        <f t="shared" ref="D39:E39" si="40">B39-AVERAGE(B:B)</f>
        <v>0.01713006731</v>
      </c>
      <c r="E39" s="42">
        <f t="shared" si="40"/>
        <v>0.009446081892</v>
      </c>
      <c r="F39" s="64">
        <f t="shared" si="3"/>
        <v>0.0001618120186</v>
      </c>
    </row>
    <row r="40">
      <c r="A40" s="32">
        <v>39.0</v>
      </c>
      <c r="B40" s="33">
        <v>-0.015832263585793704</v>
      </c>
      <c r="C40" s="33">
        <v>-0.024727838258164825</v>
      </c>
      <c r="D40" s="42">
        <f t="shared" ref="D40:E40" si="41">B40-AVERAGE(B:B)</f>
        <v>-0.01971668903</v>
      </c>
      <c r="E40" s="42">
        <f t="shared" si="41"/>
        <v>-0.02708210719</v>
      </c>
      <c r="F40" s="64">
        <f t="shared" si="3"/>
        <v>0.0005339694857</v>
      </c>
    </row>
    <row r="41">
      <c r="A41" s="32">
        <v>40.0</v>
      </c>
      <c r="B41" s="33">
        <v>-0.0035531552018192025</v>
      </c>
      <c r="C41" s="33">
        <v>0.002807236431690452</v>
      </c>
      <c r="D41" s="42">
        <f t="shared" ref="D41:E41" si="42">B41-AVERAGE(B:B)</f>
        <v>-0.007437580647</v>
      </c>
      <c r="E41" s="42">
        <f t="shared" si="42"/>
        <v>0.0004529675026</v>
      </c>
      <c r="F41" s="64">
        <f t="shared" si="3"/>
        <v>-0.000003368982331</v>
      </c>
    </row>
    <row r="42">
      <c r="A42" s="32">
        <v>41.0</v>
      </c>
      <c r="B42" s="33">
        <v>-0.014979700405991947</v>
      </c>
      <c r="C42" s="33">
        <v>-0.06625891946992857</v>
      </c>
      <c r="D42" s="42">
        <f t="shared" ref="D42:E42" si="43">B42-AVERAGE(B:B)</f>
        <v>-0.01886412585</v>
      </c>
      <c r="E42" s="42">
        <f t="shared" si="43"/>
        <v>-0.0686131884</v>
      </c>
      <c r="F42" s="64">
        <f t="shared" si="3"/>
        <v>0.001294327821</v>
      </c>
    </row>
    <row r="43">
      <c r="A43" s="32">
        <v>42.0</v>
      </c>
      <c r="B43" s="33">
        <v>0.02203462584060678</v>
      </c>
      <c r="C43" s="33">
        <v>-0.011017498379779611</v>
      </c>
      <c r="D43" s="42">
        <f t="shared" ref="D43:E43" si="44">B43-AVERAGE(B:B)</f>
        <v>0.0181502004</v>
      </c>
      <c r="E43" s="42">
        <f t="shared" si="44"/>
        <v>-0.01337176731</v>
      </c>
      <c r="F43" s="64">
        <f t="shared" si="3"/>
        <v>-0.0002427002563</v>
      </c>
    </row>
    <row r="44">
      <c r="A44" s="32">
        <v>43.0</v>
      </c>
      <c r="B44" s="33">
        <v>0.021335671489112862</v>
      </c>
      <c r="C44" s="33">
        <v>-0.014826901248581215</v>
      </c>
      <c r="D44" s="42">
        <f t="shared" ref="D44:E44" si="45">B44-AVERAGE(B:B)</f>
        <v>0.01745124604</v>
      </c>
      <c r="E44" s="42">
        <f t="shared" si="45"/>
        <v>-0.01718117018</v>
      </c>
      <c r="F44" s="64">
        <f t="shared" si="3"/>
        <v>-0.0002998328281</v>
      </c>
    </row>
    <row r="45">
      <c r="A45" s="32">
        <v>44.0</v>
      </c>
      <c r="B45" s="33">
        <v>-0.006244554167876726</v>
      </c>
      <c r="C45" s="33">
        <v>-0.01783723522853964</v>
      </c>
      <c r="D45" s="42">
        <f t="shared" ref="D45:E45" si="46">B45-AVERAGE(B:B)</f>
        <v>-0.01012897961</v>
      </c>
      <c r="E45" s="42">
        <f t="shared" si="46"/>
        <v>-0.02019150416</v>
      </c>
      <c r="F45" s="64">
        <f t="shared" si="3"/>
        <v>0.000204519334</v>
      </c>
    </row>
    <row r="46">
      <c r="A46" s="32">
        <v>45.0</v>
      </c>
      <c r="B46" s="33">
        <v>0.02485488912040479</v>
      </c>
      <c r="C46" s="33">
        <v>0.02624240257418675</v>
      </c>
      <c r="D46" s="42">
        <f t="shared" ref="D46:E46" si="47">B46-AVERAGE(B:B)</f>
        <v>0.02097046368</v>
      </c>
      <c r="E46" s="42">
        <f t="shared" si="47"/>
        <v>0.02388813365</v>
      </c>
      <c r="F46" s="64">
        <f t="shared" si="3"/>
        <v>0.0005009452389</v>
      </c>
    </row>
    <row r="47">
      <c r="A47" s="32">
        <v>46.0</v>
      </c>
      <c r="B47" s="33">
        <v>1.488538255431937E-4</v>
      </c>
      <c r="C47" s="33">
        <v>-0.02113809757121865</v>
      </c>
      <c r="D47" s="42">
        <f t="shared" ref="D47:E47" si="48">B47-AVERAGE(B:B)</f>
        <v>-0.00373557162</v>
      </c>
      <c r="E47" s="42">
        <f t="shared" si="48"/>
        <v>-0.0234923665</v>
      </c>
      <c r="F47" s="64">
        <f t="shared" si="3"/>
        <v>0.00008775741758</v>
      </c>
    </row>
    <row r="48">
      <c r="A48" s="32">
        <v>47.0</v>
      </c>
      <c r="B48" s="33">
        <v>-0.031709426347650504</v>
      </c>
      <c r="C48" s="33">
        <v>-0.029349819960595158</v>
      </c>
      <c r="D48" s="42">
        <f t="shared" ref="D48:E48" si="49">B48-AVERAGE(B:B)</f>
        <v>-0.03559385179</v>
      </c>
      <c r="E48" s="42">
        <f t="shared" si="49"/>
        <v>-0.03170408889</v>
      </c>
      <c r="F48" s="64">
        <f t="shared" si="3"/>
        <v>0.001128470641</v>
      </c>
    </row>
    <row r="49">
      <c r="A49" s="32">
        <v>48.0</v>
      </c>
      <c r="B49" s="33">
        <v>0.00303599826514378</v>
      </c>
      <c r="C49" s="33">
        <v>0.006289738155465852</v>
      </c>
      <c r="D49" s="42">
        <f t="shared" ref="D49:E49" si="50">B49-AVERAGE(B:B)</f>
        <v>-0.0008484271802</v>
      </c>
      <c r="E49" s="42">
        <f t="shared" si="50"/>
        <v>0.003935469226</v>
      </c>
      <c r="F49" s="64">
        <f t="shared" si="3"/>
        <v>-0.000003338959059</v>
      </c>
    </row>
    <row r="50">
      <c r="A50" s="32">
        <v>49.0</v>
      </c>
      <c r="B50" s="33">
        <v>-0.002019910546818604</v>
      </c>
      <c r="C50" s="33">
        <v>-1.3671474468512912E-4</v>
      </c>
      <c r="D50" s="42">
        <f t="shared" ref="D50:E50" si="51">B50-AVERAGE(B:B)</f>
        <v>-0.005904335992</v>
      </c>
      <c r="E50" s="42">
        <f t="shared" si="51"/>
        <v>-0.002490983674</v>
      </c>
      <c r="F50" s="64">
        <f t="shared" si="3"/>
        <v>0.00001470760456</v>
      </c>
    </row>
    <row r="51">
      <c r="A51" s="32">
        <v>50.0</v>
      </c>
      <c r="B51" s="33">
        <v>0.03602391629297452</v>
      </c>
      <c r="C51" s="33">
        <v>0.070466852041563</v>
      </c>
      <c r="D51" s="42">
        <f t="shared" ref="D51:E51" si="52">B51-AVERAGE(B:B)</f>
        <v>0.03213949085</v>
      </c>
      <c r="E51" s="42">
        <f t="shared" si="52"/>
        <v>0.06811258311</v>
      </c>
      <c r="F51" s="64">
        <f t="shared" si="3"/>
        <v>0.002189103742</v>
      </c>
    </row>
    <row r="52">
      <c r="A52" s="32">
        <v>51.0</v>
      </c>
      <c r="B52" s="33">
        <v>0.07885824866956948</v>
      </c>
      <c r="C52" s="33">
        <v>-0.00820088540532693</v>
      </c>
      <c r="D52" s="42">
        <f t="shared" ref="D52:E52" si="53">B52-AVERAGE(B:B)</f>
        <v>0.07497382322</v>
      </c>
      <c r="E52" s="42">
        <f t="shared" si="53"/>
        <v>-0.01055515433</v>
      </c>
      <c r="F52" s="64">
        <f t="shared" si="3"/>
        <v>-0.0007913602752</v>
      </c>
    </row>
    <row r="53">
      <c r="A53" s="46"/>
      <c r="B53" s="46"/>
      <c r="C53" s="46"/>
      <c r="D53" s="42">
        <f t="shared" ref="D53:E53" si="54">B53-AVERAGE(B:B)</f>
        <v>-0.003884425445</v>
      </c>
      <c r="E53" s="42">
        <f t="shared" si="54"/>
        <v>-0.002354268929</v>
      </c>
      <c r="F53" s="64">
        <f t="shared" si="3"/>
        <v>0.000009144982133</v>
      </c>
    </row>
    <row r="54">
      <c r="A54" s="46"/>
      <c r="B54" s="46"/>
      <c r="C54" s="46"/>
    </row>
    <row r="55">
      <c r="A55" s="46"/>
      <c r="B55" s="46"/>
      <c r="C55" s="46"/>
    </row>
    <row r="56">
      <c r="A56" s="46"/>
      <c r="B56" s="46"/>
      <c r="C56" s="46"/>
    </row>
    <row r="57">
      <c r="A57" s="46"/>
      <c r="B57" s="46"/>
      <c r="C57" s="46"/>
    </row>
    <row r="58">
      <c r="A58" s="46"/>
      <c r="B58" s="46"/>
      <c r="C58" s="46"/>
    </row>
    <row r="59">
      <c r="A59" s="46"/>
      <c r="B59" s="46"/>
      <c r="C59" s="46"/>
    </row>
    <row r="60">
      <c r="A60" s="46"/>
      <c r="B60" s="46"/>
      <c r="C60" s="46"/>
    </row>
    <row r="61">
      <c r="A61" s="46"/>
      <c r="B61" s="46"/>
      <c r="C61" s="46"/>
    </row>
    <row r="62">
      <c r="A62" s="46"/>
      <c r="B62" s="46"/>
      <c r="C62" s="46"/>
    </row>
    <row r="63">
      <c r="A63" s="46"/>
      <c r="B63" s="46"/>
      <c r="C63" s="46"/>
    </row>
    <row r="64">
      <c r="A64" s="46"/>
      <c r="B64" s="46"/>
      <c r="C64" s="46"/>
    </row>
    <row r="65">
      <c r="A65" s="46"/>
      <c r="B65" s="46"/>
      <c r="C65" s="46"/>
    </row>
    <row r="66">
      <c r="A66" s="46"/>
      <c r="B66" s="46"/>
      <c r="C66" s="46"/>
    </row>
    <row r="67">
      <c r="A67" s="46"/>
      <c r="B67" s="46"/>
      <c r="C67" s="46"/>
    </row>
    <row r="68">
      <c r="A68" s="46"/>
      <c r="B68" s="46"/>
      <c r="C68" s="46"/>
    </row>
    <row r="69">
      <c r="A69" s="46"/>
      <c r="B69" s="46"/>
      <c r="C69" s="46"/>
    </row>
    <row r="70">
      <c r="A70" s="46"/>
      <c r="B70" s="46"/>
      <c r="C70" s="46"/>
    </row>
    <row r="71">
      <c r="A71" s="46"/>
      <c r="B71" s="46"/>
      <c r="C71" s="46"/>
    </row>
    <row r="72">
      <c r="A72" s="46"/>
      <c r="B72" s="46"/>
      <c r="C72" s="46"/>
    </row>
    <row r="73">
      <c r="A73" s="46"/>
      <c r="B73" s="46"/>
      <c r="C73" s="46"/>
    </row>
    <row r="74">
      <c r="A74" s="46"/>
      <c r="B74" s="46"/>
      <c r="C74" s="46"/>
    </row>
    <row r="75">
      <c r="A75" s="46"/>
      <c r="B75" s="46"/>
      <c r="C75" s="46"/>
    </row>
    <row r="76">
      <c r="A76" s="46"/>
      <c r="B76" s="46"/>
      <c r="C76" s="46"/>
    </row>
    <row r="77">
      <c r="A77" s="46"/>
      <c r="B77" s="46"/>
      <c r="C77" s="46"/>
    </row>
    <row r="78">
      <c r="A78" s="46"/>
      <c r="B78" s="46"/>
      <c r="C78" s="46"/>
    </row>
    <row r="79">
      <c r="A79" s="46"/>
      <c r="B79" s="46"/>
      <c r="C79" s="46"/>
    </row>
    <row r="80">
      <c r="A80" s="46"/>
      <c r="B80" s="46"/>
      <c r="C80" s="46"/>
    </row>
    <row r="81">
      <c r="A81" s="46"/>
      <c r="B81" s="46"/>
      <c r="C81" s="46"/>
    </row>
    <row r="82">
      <c r="A82" s="46"/>
      <c r="B82" s="46"/>
      <c r="C82" s="46"/>
    </row>
    <row r="83">
      <c r="A83" s="46"/>
      <c r="B83" s="46"/>
      <c r="C83" s="46"/>
    </row>
    <row r="84">
      <c r="A84" s="46"/>
      <c r="B84" s="46"/>
      <c r="C84" s="46"/>
    </row>
    <row r="85">
      <c r="A85" s="46"/>
      <c r="B85" s="46"/>
      <c r="C85" s="46"/>
    </row>
    <row r="86">
      <c r="A86" s="46"/>
      <c r="B86" s="46"/>
      <c r="C86" s="46"/>
    </row>
    <row r="87">
      <c r="A87" s="46"/>
      <c r="B87" s="46"/>
      <c r="C87" s="46"/>
    </row>
    <row r="88">
      <c r="A88" s="46"/>
      <c r="B88" s="46"/>
      <c r="C88" s="46"/>
    </row>
    <row r="89">
      <c r="A89" s="46"/>
      <c r="B89" s="46"/>
      <c r="C89" s="46"/>
    </row>
    <row r="90">
      <c r="A90" s="46"/>
      <c r="B90" s="46"/>
      <c r="C90" s="46"/>
    </row>
    <row r="91">
      <c r="A91" s="46"/>
      <c r="B91" s="46"/>
      <c r="C91" s="46"/>
    </row>
    <row r="92">
      <c r="A92" s="46"/>
      <c r="B92" s="46"/>
      <c r="C92" s="46"/>
    </row>
    <row r="93">
      <c r="A93" s="46"/>
      <c r="B93" s="46"/>
      <c r="C93" s="46"/>
    </row>
    <row r="94">
      <c r="A94" s="46"/>
      <c r="B94" s="46"/>
      <c r="C94" s="46"/>
    </row>
    <row r="95">
      <c r="A95" s="46"/>
      <c r="B95" s="46"/>
      <c r="C95" s="46"/>
    </row>
    <row r="96">
      <c r="A96" s="46"/>
      <c r="B96" s="46"/>
      <c r="C96" s="46"/>
    </row>
    <row r="97">
      <c r="A97" s="46"/>
      <c r="B97" s="46"/>
      <c r="C97" s="46"/>
    </row>
    <row r="98">
      <c r="A98" s="46"/>
      <c r="B98" s="46"/>
      <c r="C98" s="46"/>
    </row>
    <row r="99">
      <c r="A99" s="46"/>
      <c r="B99" s="46"/>
      <c r="C99" s="46"/>
    </row>
    <row r="100">
      <c r="A100" s="46"/>
      <c r="B100" s="46"/>
      <c r="C100" s="46"/>
    </row>
    <row r="101">
      <c r="A101" s="46"/>
      <c r="B101" s="46"/>
      <c r="C101" s="46"/>
    </row>
    <row r="102">
      <c r="A102" s="46"/>
      <c r="B102" s="46"/>
      <c r="C102" s="46"/>
    </row>
    <row r="103">
      <c r="A103" s="46"/>
      <c r="B103" s="46"/>
      <c r="C103" s="46"/>
    </row>
    <row r="104">
      <c r="A104" s="46"/>
      <c r="B104" s="46"/>
      <c r="C104" s="46"/>
    </row>
    <row r="105">
      <c r="A105" s="46"/>
      <c r="B105" s="46"/>
      <c r="C105" s="46"/>
    </row>
    <row r="106">
      <c r="A106" s="46"/>
      <c r="B106" s="46"/>
      <c r="C106" s="46"/>
    </row>
    <row r="107">
      <c r="A107" s="46"/>
      <c r="B107" s="46"/>
      <c r="C107" s="46"/>
    </row>
    <row r="108">
      <c r="A108" s="46"/>
      <c r="B108" s="46"/>
      <c r="C108" s="46"/>
    </row>
    <row r="109">
      <c r="A109" s="46"/>
      <c r="B109" s="46"/>
      <c r="C109" s="46"/>
    </row>
    <row r="110">
      <c r="A110" s="46"/>
      <c r="B110" s="46"/>
      <c r="C110" s="46"/>
    </row>
    <row r="111">
      <c r="A111" s="46"/>
      <c r="B111" s="46"/>
      <c r="C111" s="46"/>
    </row>
    <row r="112">
      <c r="A112" s="46"/>
      <c r="B112" s="46"/>
      <c r="C112" s="46"/>
    </row>
    <row r="113">
      <c r="A113" s="46"/>
      <c r="B113" s="46"/>
      <c r="C113" s="46"/>
    </row>
    <row r="114">
      <c r="A114" s="46"/>
      <c r="B114" s="46"/>
      <c r="C114" s="46"/>
    </row>
    <row r="115">
      <c r="A115" s="46"/>
      <c r="B115" s="46"/>
      <c r="C115" s="46"/>
    </row>
    <row r="116">
      <c r="A116" s="46"/>
      <c r="B116" s="46"/>
      <c r="C116" s="46"/>
    </row>
    <row r="117">
      <c r="A117" s="46"/>
      <c r="B117" s="46"/>
      <c r="C117" s="46"/>
    </row>
    <row r="118">
      <c r="A118" s="46"/>
      <c r="B118" s="46"/>
      <c r="C118" s="46"/>
    </row>
    <row r="119">
      <c r="A119" s="46"/>
      <c r="B119" s="46"/>
      <c r="C119" s="46"/>
    </row>
    <row r="120">
      <c r="A120" s="46"/>
      <c r="B120" s="46"/>
      <c r="C120" s="46"/>
    </row>
    <row r="121">
      <c r="A121" s="46"/>
      <c r="B121" s="46"/>
      <c r="C121" s="46"/>
    </row>
    <row r="122">
      <c r="A122" s="46"/>
      <c r="B122" s="46"/>
      <c r="C122" s="46"/>
    </row>
    <row r="123">
      <c r="A123" s="46"/>
      <c r="B123" s="46"/>
      <c r="C123" s="46"/>
    </row>
    <row r="124">
      <c r="A124" s="46"/>
      <c r="B124" s="46"/>
      <c r="C124" s="46"/>
    </row>
    <row r="125">
      <c r="A125" s="46"/>
      <c r="B125" s="46"/>
      <c r="C125" s="46"/>
    </row>
    <row r="126">
      <c r="A126" s="46"/>
      <c r="B126" s="46"/>
      <c r="C126" s="46"/>
    </row>
    <row r="127">
      <c r="A127" s="46"/>
      <c r="B127" s="46"/>
      <c r="C127" s="46"/>
    </row>
    <row r="128">
      <c r="A128" s="46"/>
      <c r="B128" s="46"/>
      <c r="C128" s="46"/>
    </row>
    <row r="129">
      <c r="A129" s="46"/>
      <c r="B129" s="46"/>
      <c r="C129" s="46"/>
    </row>
    <row r="130">
      <c r="A130" s="46"/>
      <c r="B130" s="46"/>
      <c r="C130" s="46"/>
    </row>
    <row r="131">
      <c r="A131" s="46"/>
      <c r="B131" s="46"/>
      <c r="C131" s="46"/>
    </row>
    <row r="132">
      <c r="A132" s="46"/>
      <c r="B132" s="46"/>
      <c r="C132" s="46"/>
    </row>
    <row r="133">
      <c r="A133" s="46"/>
      <c r="B133" s="46"/>
      <c r="C133" s="46"/>
    </row>
    <row r="134">
      <c r="A134" s="46"/>
      <c r="B134" s="46"/>
      <c r="C134" s="46"/>
    </row>
    <row r="135">
      <c r="A135" s="46"/>
      <c r="B135" s="46"/>
      <c r="C135" s="46"/>
    </row>
    <row r="136">
      <c r="A136" s="46"/>
      <c r="B136" s="46"/>
      <c r="C136" s="46"/>
    </row>
    <row r="137">
      <c r="A137" s="46"/>
      <c r="B137" s="46"/>
      <c r="C137" s="46"/>
    </row>
    <row r="138">
      <c r="A138" s="46"/>
      <c r="B138" s="46"/>
      <c r="C138" s="46"/>
    </row>
    <row r="139">
      <c r="A139" s="46"/>
      <c r="B139" s="46"/>
      <c r="C139" s="46"/>
    </row>
    <row r="140">
      <c r="A140" s="46"/>
      <c r="B140" s="46"/>
      <c r="C140" s="46"/>
    </row>
    <row r="141">
      <c r="A141" s="46"/>
      <c r="B141" s="46"/>
      <c r="C141" s="46"/>
    </row>
    <row r="142">
      <c r="A142" s="46"/>
      <c r="B142" s="46"/>
      <c r="C142" s="46"/>
    </row>
    <row r="143">
      <c r="A143" s="46"/>
      <c r="B143" s="46"/>
      <c r="C143" s="46"/>
    </row>
    <row r="144">
      <c r="A144" s="46"/>
      <c r="B144" s="46"/>
      <c r="C144" s="46"/>
    </row>
    <row r="145">
      <c r="A145" s="46"/>
      <c r="B145" s="46"/>
      <c r="C145" s="46"/>
    </row>
    <row r="146">
      <c r="A146" s="46"/>
      <c r="B146" s="46"/>
      <c r="C146" s="46"/>
    </row>
    <row r="147">
      <c r="A147" s="46"/>
      <c r="B147" s="46"/>
      <c r="C147" s="46"/>
    </row>
    <row r="148">
      <c r="A148" s="46"/>
      <c r="B148" s="46"/>
      <c r="C148" s="46"/>
    </row>
    <row r="149">
      <c r="A149" s="46"/>
      <c r="B149" s="46"/>
      <c r="C149" s="46"/>
    </row>
    <row r="150">
      <c r="A150" s="46"/>
      <c r="B150" s="46"/>
      <c r="C150" s="46"/>
    </row>
    <row r="151">
      <c r="A151" s="46"/>
      <c r="B151" s="46"/>
      <c r="C151" s="46"/>
    </row>
    <row r="152">
      <c r="A152" s="46"/>
      <c r="B152" s="46"/>
      <c r="C152" s="46"/>
    </row>
    <row r="153">
      <c r="A153" s="46"/>
      <c r="B153" s="46"/>
      <c r="C153" s="46"/>
    </row>
    <row r="154">
      <c r="A154" s="46"/>
      <c r="B154" s="46"/>
      <c r="C154" s="46"/>
    </row>
    <row r="155">
      <c r="A155" s="46"/>
      <c r="B155" s="46"/>
      <c r="C155" s="46"/>
    </row>
    <row r="156">
      <c r="A156" s="46"/>
      <c r="B156" s="46"/>
      <c r="C156" s="46"/>
    </row>
    <row r="157">
      <c r="A157" s="46"/>
      <c r="B157" s="46"/>
      <c r="C157" s="46"/>
    </row>
    <row r="158">
      <c r="A158" s="46"/>
      <c r="B158" s="46"/>
      <c r="C158" s="46"/>
    </row>
    <row r="159">
      <c r="A159" s="46"/>
      <c r="B159" s="46"/>
      <c r="C159" s="46"/>
    </row>
    <row r="160">
      <c r="A160" s="46"/>
      <c r="B160" s="46"/>
      <c r="C160" s="46"/>
    </row>
    <row r="161">
      <c r="A161" s="46"/>
      <c r="B161" s="46"/>
      <c r="C161" s="46"/>
    </row>
    <row r="162">
      <c r="A162" s="46"/>
      <c r="B162" s="46"/>
      <c r="C162" s="46"/>
    </row>
    <row r="163">
      <c r="A163" s="46"/>
      <c r="B163" s="46"/>
      <c r="C163" s="46"/>
    </row>
    <row r="164">
      <c r="A164" s="46"/>
      <c r="B164" s="46"/>
      <c r="C164" s="46"/>
    </row>
    <row r="165">
      <c r="A165" s="46"/>
      <c r="B165" s="46"/>
      <c r="C165" s="46"/>
    </row>
    <row r="166">
      <c r="A166" s="46"/>
      <c r="B166" s="46"/>
      <c r="C166" s="46"/>
    </row>
    <row r="167">
      <c r="A167" s="46"/>
      <c r="B167" s="46"/>
      <c r="C167" s="46"/>
    </row>
    <row r="168">
      <c r="A168" s="46"/>
      <c r="B168" s="46"/>
      <c r="C168" s="46"/>
    </row>
    <row r="169">
      <c r="A169" s="46"/>
      <c r="B169" s="46"/>
      <c r="C169" s="46"/>
    </row>
    <row r="170">
      <c r="A170" s="46"/>
      <c r="B170" s="46"/>
      <c r="C170" s="46"/>
    </row>
    <row r="171">
      <c r="A171" s="46"/>
      <c r="B171" s="46"/>
      <c r="C171" s="46"/>
    </row>
    <row r="172">
      <c r="A172" s="46"/>
      <c r="B172" s="46"/>
      <c r="C172" s="46"/>
    </row>
    <row r="173">
      <c r="A173" s="46"/>
      <c r="B173" s="46"/>
      <c r="C173" s="46"/>
    </row>
    <row r="174">
      <c r="A174" s="46"/>
      <c r="B174" s="46"/>
      <c r="C174" s="46"/>
    </row>
    <row r="175">
      <c r="A175" s="46"/>
      <c r="B175" s="46"/>
      <c r="C175" s="46"/>
    </row>
    <row r="176">
      <c r="A176" s="46"/>
      <c r="B176" s="46"/>
      <c r="C176" s="46"/>
    </row>
    <row r="177">
      <c r="A177" s="46"/>
      <c r="B177" s="46"/>
      <c r="C177" s="46"/>
    </row>
    <row r="178">
      <c r="A178" s="46"/>
      <c r="B178" s="46"/>
      <c r="C178" s="46"/>
    </row>
    <row r="179">
      <c r="A179" s="46"/>
      <c r="B179" s="46"/>
      <c r="C179" s="46"/>
    </row>
    <row r="180">
      <c r="A180" s="46"/>
      <c r="B180" s="46"/>
      <c r="C180" s="46"/>
    </row>
    <row r="181">
      <c r="A181" s="46"/>
      <c r="B181" s="46"/>
      <c r="C181" s="46"/>
    </row>
    <row r="182">
      <c r="A182" s="46"/>
      <c r="B182" s="46"/>
      <c r="C182" s="46"/>
    </row>
    <row r="183">
      <c r="A183" s="46"/>
      <c r="B183" s="46"/>
      <c r="C183" s="46"/>
    </row>
    <row r="184">
      <c r="A184" s="46"/>
      <c r="B184" s="46"/>
      <c r="C184" s="46"/>
    </row>
    <row r="185">
      <c r="A185" s="46"/>
      <c r="B185" s="46"/>
      <c r="C185" s="46"/>
    </row>
    <row r="186">
      <c r="A186" s="46"/>
      <c r="B186" s="46"/>
      <c r="C186" s="46"/>
    </row>
    <row r="187">
      <c r="A187" s="46"/>
      <c r="B187" s="46"/>
      <c r="C187" s="46"/>
    </row>
    <row r="188">
      <c r="A188" s="46"/>
      <c r="B188" s="46"/>
      <c r="C188" s="46"/>
    </row>
    <row r="189">
      <c r="A189" s="46"/>
      <c r="B189" s="46"/>
      <c r="C189" s="46"/>
    </row>
    <row r="190">
      <c r="A190" s="46"/>
      <c r="B190" s="46"/>
      <c r="C190" s="46"/>
    </row>
    <row r="191">
      <c r="A191" s="46"/>
      <c r="B191" s="46"/>
      <c r="C191" s="46"/>
    </row>
    <row r="192">
      <c r="A192" s="46"/>
      <c r="B192" s="46"/>
      <c r="C192" s="46"/>
    </row>
    <row r="193">
      <c r="A193" s="46"/>
      <c r="B193" s="46"/>
      <c r="C193" s="46"/>
    </row>
    <row r="194">
      <c r="A194" s="46"/>
      <c r="B194" s="46"/>
      <c r="C194" s="46"/>
    </row>
    <row r="195">
      <c r="A195" s="46"/>
      <c r="B195" s="46"/>
      <c r="C195" s="46"/>
    </row>
    <row r="196">
      <c r="A196" s="46"/>
      <c r="B196" s="46"/>
      <c r="C196" s="46"/>
    </row>
    <row r="197">
      <c r="A197" s="46"/>
      <c r="B197" s="46"/>
      <c r="C197" s="46"/>
    </row>
    <row r="198">
      <c r="A198" s="46"/>
      <c r="B198" s="46"/>
      <c r="C198" s="46"/>
    </row>
    <row r="199">
      <c r="A199" s="46"/>
      <c r="B199" s="46"/>
      <c r="C199" s="46"/>
    </row>
    <row r="200">
      <c r="A200" s="46"/>
      <c r="B200" s="46"/>
      <c r="C200" s="46"/>
    </row>
    <row r="201">
      <c r="A201" s="46"/>
      <c r="B201" s="46"/>
      <c r="C201" s="46"/>
    </row>
    <row r="202">
      <c r="A202" s="46"/>
      <c r="B202" s="46"/>
      <c r="C202" s="46"/>
    </row>
    <row r="203">
      <c r="A203" s="46"/>
      <c r="B203" s="46"/>
      <c r="C203" s="46"/>
    </row>
    <row r="204">
      <c r="A204" s="46"/>
      <c r="B204" s="46"/>
      <c r="C204" s="46"/>
    </row>
    <row r="205">
      <c r="A205" s="46"/>
      <c r="B205" s="46"/>
      <c r="C205" s="46"/>
    </row>
    <row r="206">
      <c r="A206" s="46"/>
      <c r="B206" s="46"/>
      <c r="C206" s="46"/>
    </row>
    <row r="207">
      <c r="A207" s="46"/>
      <c r="B207" s="46"/>
      <c r="C207" s="46"/>
    </row>
    <row r="208">
      <c r="A208" s="46"/>
      <c r="B208" s="46"/>
      <c r="C208" s="46"/>
    </row>
    <row r="209">
      <c r="A209" s="46"/>
      <c r="B209" s="46"/>
      <c r="C209" s="46"/>
    </row>
    <row r="210">
      <c r="A210" s="46"/>
      <c r="B210" s="46"/>
      <c r="C210" s="46"/>
    </row>
    <row r="211">
      <c r="A211" s="46"/>
      <c r="B211" s="46"/>
      <c r="C211" s="46"/>
    </row>
    <row r="212">
      <c r="A212" s="46"/>
      <c r="B212" s="46"/>
      <c r="C212" s="46"/>
    </row>
    <row r="213">
      <c r="A213" s="46"/>
      <c r="B213" s="46"/>
      <c r="C213" s="46"/>
    </row>
    <row r="214">
      <c r="A214" s="46"/>
      <c r="B214" s="46"/>
      <c r="C214" s="46"/>
    </row>
    <row r="215">
      <c r="A215" s="46"/>
      <c r="B215" s="46"/>
      <c r="C215" s="46"/>
    </row>
    <row r="216">
      <c r="A216" s="46"/>
      <c r="B216" s="46"/>
      <c r="C216" s="46"/>
    </row>
    <row r="217">
      <c r="A217" s="46"/>
      <c r="B217" s="46"/>
      <c r="C217" s="46"/>
    </row>
    <row r="218">
      <c r="A218" s="46"/>
      <c r="B218" s="46"/>
      <c r="C218" s="46"/>
    </row>
    <row r="219">
      <c r="A219" s="46"/>
      <c r="B219" s="46"/>
      <c r="C219" s="46"/>
    </row>
    <row r="220">
      <c r="A220" s="46"/>
      <c r="B220" s="46"/>
      <c r="C220" s="46"/>
    </row>
    <row r="221">
      <c r="A221" s="46"/>
      <c r="B221" s="46"/>
      <c r="C221" s="46"/>
    </row>
    <row r="222">
      <c r="A222" s="46"/>
      <c r="B222" s="46"/>
      <c r="C222" s="46"/>
    </row>
    <row r="223">
      <c r="A223" s="46"/>
      <c r="B223" s="46"/>
      <c r="C223" s="46"/>
    </row>
    <row r="224">
      <c r="A224" s="46"/>
      <c r="B224" s="46"/>
      <c r="C224" s="46"/>
    </row>
    <row r="225">
      <c r="A225" s="46"/>
      <c r="B225" s="46"/>
      <c r="C225" s="46"/>
    </row>
    <row r="226">
      <c r="A226" s="46"/>
      <c r="B226" s="46"/>
      <c r="C226" s="46"/>
    </row>
    <row r="227">
      <c r="A227" s="46"/>
      <c r="B227" s="46"/>
      <c r="C227" s="46"/>
    </row>
    <row r="228">
      <c r="A228" s="46"/>
      <c r="B228" s="46"/>
      <c r="C228" s="46"/>
    </row>
    <row r="229">
      <c r="A229" s="46"/>
      <c r="B229" s="46"/>
      <c r="C229" s="46"/>
    </row>
    <row r="230">
      <c r="A230" s="46"/>
      <c r="B230" s="46"/>
      <c r="C230" s="46"/>
    </row>
    <row r="231">
      <c r="A231" s="46"/>
      <c r="B231" s="46"/>
      <c r="C231" s="46"/>
    </row>
    <row r="232">
      <c r="A232" s="46"/>
      <c r="B232" s="46"/>
      <c r="C232" s="46"/>
    </row>
    <row r="233">
      <c r="A233" s="46"/>
      <c r="B233" s="46"/>
      <c r="C233" s="46"/>
    </row>
    <row r="234">
      <c r="A234" s="46"/>
      <c r="B234" s="46"/>
      <c r="C234" s="46"/>
    </row>
    <row r="235">
      <c r="A235" s="46"/>
      <c r="B235" s="46"/>
      <c r="C235" s="46"/>
    </row>
    <row r="236">
      <c r="A236" s="46"/>
      <c r="B236" s="46"/>
      <c r="C236" s="46"/>
    </row>
    <row r="237">
      <c r="A237" s="46"/>
      <c r="B237" s="46"/>
      <c r="C237" s="46"/>
    </row>
    <row r="238">
      <c r="A238" s="46"/>
      <c r="B238" s="46"/>
      <c r="C238" s="46"/>
    </row>
    <row r="239">
      <c r="A239" s="46"/>
      <c r="B239" s="46"/>
      <c r="C239" s="46"/>
    </row>
    <row r="240">
      <c r="A240" s="46"/>
      <c r="B240" s="46"/>
      <c r="C240" s="46"/>
    </row>
    <row r="241">
      <c r="A241" s="46"/>
      <c r="B241" s="46"/>
      <c r="C241" s="46"/>
    </row>
    <row r="242">
      <c r="A242" s="46"/>
      <c r="B242" s="46"/>
      <c r="C242" s="46"/>
    </row>
    <row r="243">
      <c r="A243" s="46"/>
      <c r="B243" s="46"/>
      <c r="C243" s="46"/>
    </row>
    <row r="244">
      <c r="A244" s="46"/>
      <c r="B244" s="46"/>
      <c r="C244" s="46"/>
    </row>
    <row r="245">
      <c r="A245" s="46"/>
      <c r="B245" s="46"/>
      <c r="C245" s="46"/>
    </row>
    <row r="246">
      <c r="A246" s="46"/>
      <c r="B246" s="46"/>
      <c r="C246" s="46"/>
    </row>
    <row r="247">
      <c r="A247" s="46"/>
      <c r="B247" s="46"/>
      <c r="C247" s="46"/>
    </row>
    <row r="248">
      <c r="A248" s="46"/>
      <c r="B248" s="46"/>
      <c r="C248" s="46"/>
    </row>
    <row r="249">
      <c r="A249" s="46"/>
      <c r="B249" s="46"/>
      <c r="C249" s="46"/>
    </row>
    <row r="250">
      <c r="A250" s="46"/>
      <c r="B250" s="46"/>
      <c r="C250" s="46"/>
    </row>
    <row r="251">
      <c r="A251" s="46"/>
      <c r="B251" s="46"/>
      <c r="C251" s="46"/>
    </row>
    <row r="252">
      <c r="A252" s="46"/>
      <c r="B252" s="46"/>
      <c r="C252" s="46"/>
    </row>
    <row r="253">
      <c r="A253" s="46"/>
      <c r="B253" s="46"/>
      <c r="C253" s="46"/>
    </row>
    <row r="254">
      <c r="A254" s="46"/>
      <c r="B254" s="46"/>
      <c r="C254" s="46"/>
    </row>
    <row r="255">
      <c r="A255" s="46"/>
      <c r="B255" s="46"/>
      <c r="C255" s="46"/>
    </row>
    <row r="256">
      <c r="A256" s="46"/>
      <c r="B256" s="46"/>
      <c r="C256" s="46"/>
    </row>
    <row r="257">
      <c r="A257" s="46"/>
      <c r="B257" s="46"/>
      <c r="C257" s="46"/>
    </row>
    <row r="258">
      <c r="A258" s="46"/>
      <c r="B258" s="46"/>
      <c r="C258" s="46"/>
    </row>
    <row r="259">
      <c r="A259" s="46"/>
      <c r="B259" s="46"/>
      <c r="C259" s="46"/>
    </row>
    <row r="260">
      <c r="A260" s="46"/>
      <c r="B260" s="46"/>
      <c r="C260" s="46"/>
    </row>
    <row r="261">
      <c r="A261" s="46"/>
      <c r="B261" s="46"/>
      <c r="C261" s="46"/>
    </row>
    <row r="262">
      <c r="A262" s="46"/>
      <c r="B262" s="46"/>
      <c r="C262" s="46"/>
    </row>
    <row r="263">
      <c r="A263" s="46"/>
      <c r="B263" s="46"/>
      <c r="C263" s="46"/>
    </row>
    <row r="264">
      <c r="A264" s="46"/>
      <c r="B264" s="46"/>
      <c r="C264" s="46"/>
    </row>
    <row r="265">
      <c r="A265" s="46"/>
      <c r="B265" s="46"/>
      <c r="C265" s="46"/>
    </row>
    <row r="266">
      <c r="A266" s="46"/>
      <c r="B266" s="46"/>
      <c r="C266" s="46"/>
    </row>
    <row r="267">
      <c r="A267" s="46"/>
      <c r="B267" s="46"/>
      <c r="C267" s="46"/>
    </row>
    <row r="268">
      <c r="A268" s="46"/>
      <c r="B268" s="46"/>
      <c r="C268" s="46"/>
    </row>
    <row r="269">
      <c r="A269" s="46"/>
      <c r="B269" s="46"/>
      <c r="C269" s="46"/>
    </row>
    <row r="270">
      <c r="A270" s="46"/>
      <c r="B270" s="46"/>
      <c r="C270" s="46"/>
    </row>
    <row r="271">
      <c r="A271" s="46"/>
      <c r="B271" s="46"/>
      <c r="C271" s="46"/>
    </row>
    <row r="272">
      <c r="A272" s="46"/>
      <c r="B272" s="46"/>
      <c r="C272" s="46"/>
    </row>
    <row r="273">
      <c r="A273" s="46"/>
      <c r="B273" s="46"/>
      <c r="C273" s="46"/>
    </row>
    <row r="274">
      <c r="A274" s="46"/>
      <c r="B274" s="46"/>
      <c r="C274" s="46"/>
    </row>
    <row r="275">
      <c r="A275" s="46"/>
      <c r="B275" s="46"/>
      <c r="C275" s="46"/>
    </row>
    <row r="276">
      <c r="A276" s="46"/>
      <c r="B276" s="46"/>
      <c r="C276" s="46"/>
    </row>
    <row r="277">
      <c r="A277" s="46"/>
      <c r="B277" s="46"/>
      <c r="C277" s="46"/>
    </row>
    <row r="278">
      <c r="A278" s="46"/>
      <c r="B278" s="46"/>
      <c r="C278" s="46"/>
    </row>
    <row r="279">
      <c r="A279" s="46"/>
      <c r="B279" s="46"/>
      <c r="C279" s="46"/>
    </row>
    <row r="280">
      <c r="A280" s="46"/>
      <c r="B280" s="46"/>
      <c r="C280" s="46"/>
    </row>
    <row r="281">
      <c r="A281" s="46"/>
      <c r="B281" s="46"/>
      <c r="C281" s="46"/>
    </row>
    <row r="282">
      <c r="A282" s="46"/>
      <c r="B282" s="46"/>
      <c r="C282" s="46"/>
    </row>
    <row r="283">
      <c r="A283" s="46"/>
      <c r="B283" s="46"/>
      <c r="C283" s="46"/>
    </row>
    <row r="284">
      <c r="A284" s="46"/>
      <c r="B284" s="46"/>
      <c r="C284" s="46"/>
    </row>
    <row r="285">
      <c r="A285" s="46"/>
      <c r="B285" s="46"/>
      <c r="C285" s="46"/>
    </row>
    <row r="286">
      <c r="A286" s="46"/>
      <c r="B286" s="46"/>
      <c r="C286" s="46"/>
    </row>
    <row r="287">
      <c r="A287" s="46"/>
      <c r="B287" s="46"/>
      <c r="C287" s="46"/>
    </row>
    <row r="288">
      <c r="A288" s="46"/>
      <c r="B288" s="46"/>
      <c r="C288" s="46"/>
    </row>
    <row r="289">
      <c r="A289" s="46"/>
      <c r="B289" s="46"/>
      <c r="C289" s="46"/>
    </row>
    <row r="290">
      <c r="A290" s="46"/>
      <c r="B290" s="46"/>
      <c r="C290" s="46"/>
    </row>
    <row r="291">
      <c r="A291" s="46"/>
      <c r="B291" s="46"/>
      <c r="C291" s="46"/>
    </row>
    <row r="292">
      <c r="A292" s="46"/>
      <c r="B292" s="46"/>
      <c r="C292" s="46"/>
    </row>
    <row r="293">
      <c r="A293" s="46"/>
      <c r="B293" s="46"/>
      <c r="C293" s="46"/>
    </row>
    <row r="294">
      <c r="A294" s="46"/>
      <c r="B294" s="46"/>
      <c r="C294" s="46"/>
    </row>
    <row r="295">
      <c r="A295" s="46"/>
      <c r="B295" s="46"/>
      <c r="C295" s="46"/>
    </row>
    <row r="296">
      <c r="A296" s="46"/>
      <c r="B296" s="46"/>
      <c r="C296" s="46"/>
    </row>
    <row r="297">
      <c r="A297" s="46"/>
      <c r="B297" s="46"/>
      <c r="C297" s="46"/>
    </row>
    <row r="298">
      <c r="A298" s="46"/>
      <c r="B298" s="46"/>
      <c r="C298" s="46"/>
    </row>
    <row r="299">
      <c r="A299" s="46"/>
      <c r="B299" s="46"/>
      <c r="C299" s="46"/>
    </row>
    <row r="300">
      <c r="A300" s="46"/>
      <c r="B300" s="46"/>
      <c r="C300" s="46"/>
    </row>
    <row r="301">
      <c r="A301" s="46"/>
      <c r="B301" s="46"/>
      <c r="C301" s="46"/>
    </row>
    <row r="302">
      <c r="A302" s="46"/>
      <c r="B302" s="46"/>
      <c r="C302" s="46"/>
    </row>
    <row r="303">
      <c r="A303" s="46"/>
      <c r="B303" s="46"/>
      <c r="C303" s="46"/>
    </row>
    <row r="304">
      <c r="A304" s="46"/>
      <c r="B304" s="46"/>
      <c r="C304" s="46"/>
    </row>
    <row r="305">
      <c r="A305" s="46"/>
      <c r="B305" s="46"/>
      <c r="C305" s="46"/>
    </row>
    <row r="306">
      <c r="A306" s="46"/>
      <c r="B306" s="46"/>
      <c r="C306" s="46"/>
    </row>
    <row r="307">
      <c r="A307" s="46"/>
      <c r="B307" s="46"/>
      <c r="C307" s="46"/>
    </row>
    <row r="308">
      <c r="A308" s="46"/>
      <c r="B308" s="46"/>
      <c r="C308" s="46"/>
    </row>
    <row r="309">
      <c r="A309" s="46"/>
      <c r="B309" s="46"/>
      <c r="C309" s="46"/>
    </row>
    <row r="310">
      <c r="A310" s="46"/>
      <c r="B310" s="46"/>
      <c r="C310" s="46"/>
    </row>
    <row r="311">
      <c r="A311" s="46"/>
      <c r="B311" s="46"/>
      <c r="C311" s="46"/>
    </row>
    <row r="312">
      <c r="A312" s="46"/>
      <c r="B312" s="46"/>
      <c r="C312" s="46"/>
    </row>
    <row r="313">
      <c r="A313" s="46"/>
      <c r="B313" s="46"/>
      <c r="C313" s="46"/>
    </row>
    <row r="314">
      <c r="A314" s="46"/>
      <c r="B314" s="46"/>
      <c r="C314" s="46"/>
    </row>
    <row r="315">
      <c r="A315" s="46"/>
      <c r="B315" s="46"/>
      <c r="C315" s="46"/>
    </row>
    <row r="316">
      <c r="A316" s="46"/>
      <c r="B316" s="46"/>
      <c r="C316" s="46"/>
    </row>
    <row r="317">
      <c r="A317" s="46"/>
      <c r="B317" s="46"/>
      <c r="C317" s="46"/>
    </row>
    <row r="318">
      <c r="A318" s="46"/>
      <c r="B318" s="46"/>
      <c r="C318" s="46"/>
    </row>
    <row r="319">
      <c r="A319" s="46"/>
      <c r="B319" s="46"/>
      <c r="C319" s="46"/>
    </row>
    <row r="320">
      <c r="A320" s="46"/>
      <c r="B320" s="46"/>
      <c r="C320" s="46"/>
    </row>
    <row r="321">
      <c r="A321" s="46"/>
      <c r="B321" s="46"/>
      <c r="C321" s="46"/>
    </row>
    <row r="322">
      <c r="A322" s="46"/>
      <c r="B322" s="46"/>
      <c r="C322" s="46"/>
    </row>
    <row r="323">
      <c r="A323" s="46"/>
      <c r="B323" s="46"/>
      <c r="C323" s="46"/>
    </row>
    <row r="324">
      <c r="A324" s="46"/>
      <c r="B324" s="46"/>
      <c r="C324" s="46"/>
    </row>
    <row r="325">
      <c r="A325" s="46"/>
      <c r="B325" s="46"/>
      <c r="C325" s="46"/>
    </row>
    <row r="326">
      <c r="A326" s="46"/>
      <c r="B326" s="46"/>
      <c r="C326" s="46"/>
    </row>
    <row r="327">
      <c r="A327" s="46"/>
      <c r="B327" s="46"/>
      <c r="C327" s="46"/>
    </row>
    <row r="328">
      <c r="A328" s="46"/>
      <c r="B328" s="46"/>
      <c r="C328" s="46"/>
    </row>
    <row r="329">
      <c r="A329" s="46"/>
      <c r="B329" s="46"/>
      <c r="C329" s="46"/>
    </row>
    <row r="330">
      <c r="A330" s="46"/>
      <c r="B330" s="46"/>
      <c r="C330" s="46"/>
    </row>
    <row r="331">
      <c r="A331" s="46"/>
      <c r="B331" s="46"/>
      <c r="C331" s="46"/>
    </row>
    <row r="332">
      <c r="A332" s="46"/>
      <c r="B332" s="46"/>
      <c r="C332" s="46"/>
    </row>
    <row r="333">
      <c r="A333" s="46"/>
      <c r="B333" s="46"/>
      <c r="C333" s="46"/>
    </row>
    <row r="334">
      <c r="A334" s="46"/>
      <c r="B334" s="46"/>
      <c r="C334" s="46"/>
    </row>
    <row r="335">
      <c r="A335" s="46"/>
      <c r="B335" s="46"/>
      <c r="C335" s="46"/>
    </row>
    <row r="336">
      <c r="A336" s="46"/>
      <c r="B336" s="46"/>
      <c r="C336" s="46"/>
    </row>
    <row r="337">
      <c r="A337" s="46"/>
      <c r="B337" s="46"/>
      <c r="C337" s="46"/>
    </row>
    <row r="338">
      <c r="A338" s="46"/>
      <c r="B338" s="46"/>
      <c r="C338" s="46"/>
    </row>
    <row r="339">
      <c r="A339" s="46"/>
      <c r="B339" s="46"/>
      <c r="C339" s="46"/>
    </row>
    <row r="340">
      <c r="A340" s="46"/>
      <c r="B340" s="46"/>
      <c r="C340" s="46"/>
    </row>
    <row r="341">
      <c r="A341" s="46"/>
      <c r="B341" s="46"/>
      <c r="C341" s="46"/>
    </row>
    <row r="342">
      <c r="A342" s="46"/>
      <c r="B342" s="46"/>
      <c r="C342" s="46"/>
    </row>
    <row r="343">
      <c r="A343" s="46"/>
      <c r="B343" s="46"/>
      <c r="C343" s="46"/>
    </row>
    <row r="344">
      <c r="A344" s="46"/>
      <c r="B344" s="46"/>
      <c r="C344" s="46"/>
    </row>
    <row r="345">
      <c r="A345" s="46"/>
      <c r="B345" s="46"/>
      <c r="C345" s="46"/>
    </row>
    <row r="346">
      <c r="A346" s="46"/>
      <c r="B346" s="46"/>
      <c r="C346" s="46"/>
    </row>
    <row r="347">
      <c r="A347" s="46"/>
      <c r="B347" s="46"/>
      <c r="C347" s="46"/>
    </row>
    <row r="348">
      <c r="A348" s="46"/>
      <c r="B348" s="46"/>
      <c r="C348" s="46"/>
    </row>
    <row r="349">
      <c r="A349" s="46"/>
      <c r="B349" s="46"/>
      <c r="C349" s="46"/>
    </row>
    <row r="350">
      <c r="A350" s="46"/>
      <c r="B350" s="46"/>
      <c r="C350" s="46"/>
    </row>
    <row r="351">
      <c r="A351" s="46"/>
      <c r="B351" s="46"/>
      <c r="C351" s="46"/>
    </row>
    <row r="352">
      <c r="A352" s="46"/>
      <c r="B352" s="46"/>
      <c r="C352" s="46"/>
    </row>
    <row r="353">
      <c r="A353" s="46"/>
      <c r="B353" s="46"/>
      <c r="C353" s="46"/>
    </row>
    <row r="354">
      <c r="A354" s="46"/>
      <c r="B354" s="46"/>
      <c r="C354" s="46"/>
    </row>
    <row r="355">
      <c r="A355" s="46"/>
      <c r="B355" s="46"/>
      <c r="C355" s="46"/>
    </row>
    <row r="356">
      <c r="A356" s="46"/>
      <c r="B356" s="46"/>
      <c r="C356" s="46"/>
    </row>
    <row r="357">
      <c r="A357" s="46"/>
      <c r="B357" s="46"/>
      <c r="C357" s="46"/>
    </row>
    <row r="358">
      <c r="A358" s="46"/>
      <c r="B358" s="46"/>
      <c r="C358" s="46"/>
    </row>
    <row r="359">
      <c r="A359" s="46"/>
      <c r="B359" s="46"/>
      <c r="C359" s="46"/>
    </row>
    <row r="360">
      <c r="A360" s="46"/>
      <c r="B360" s="46"/>
      <c r="C360" s="46"/>
    </row>
    <row r="361">
      <c r="A361" s="46"/>
      <c r="B361" s="46"/>
      <c r="C361" s="46"/>
    </row>
    <row r="362">
      <c r="A362" s="46"/>
      <c r="B362" s="46"/>
      <c r="C362" s="46"/>
    </row>
    <row r="363">
      <c r="A363" s="46"/>
      <c r="B363" s="46"/>
      <c r="C363" s="46"/>
    </row>
    <row r="364">
      <c r="A364" s="46"/>
      <c r="B364" s="46"/>
      <c r="C364" s="46"/>
    </row>
    <row r="365">
      <c r="A365" s="46"/>
      <c r="B365" s="46"/>
      <c r="C365" s="46"/>
    </row>
    <row r="366">
      <c r="A366" s="46"/>
      <c r="B366" s="46"/>
      <c r="C366" s="46"/>
    </row>
    <row r="367">
      <c r="A367" s="46"/>
      <c r="B367" s="46"/>
      <c r="C367" s="46"/>
    </row>
    <row r="368">
      <c r="A368" s="46"/>
      <c r="B368" s="46"/>
      <c r="C368" s="46"/>
    </row>
    <row r="369">
      <c r="A369" s="46"/>
      <c r="B369" s="46"/>
      <c r="C369" s="46"/>
    </row>
    <row r="370">
      <c r="A370" s="46"/>
      <c r="B370" s="46"/>
      <c r="C370" s="46"/>
    </row>
    <row r="371">
      <c r="A371" s="46"/>
      <c r="B371" s="46"/>
      <c r="C371" s="46"/>
    </row>
    <row r="372">
      <c r="A372" s="46"/>
      <c r="B372" s="46"/>
      <c r="C372" s="46"/>
    </row>
    <row r="373">
      <c r="A373" s="46"/>
      <c r="B373" s="46"/>
      <c r="C373" s="46"/>
    </row>
    <row r="374">
      <c r="A374" s="46"/>
      <c r="B374" s="46"/>
      <c r="C374" s="46"/>
    </row>
    <row r="375">
      <c r="A375" s="46"/>
      <c r="B375" s="46"/>
      <c r="C375" s="46"/>
    </row>
    <row r="376">
      <c r="A376" s="46"/>
      <c r="B376" s="46"/>
      <c r="C376" s="46"/>
    </row>
    <row r="377">
      <c r="A377" s="46"/>
      <c r="B377" s="46"/>
      <c r="C377" s="46"/>
    </row>
    <row r="378">
      <c r="A378" s="46"/>
      <c r="B378" s="46"/>
      <c r="C378" s="46"/>
    </row>
    <row r="379">
      <c r="A379" s="46"/>
      <c r="B379" s="46"/>
      <c r="C379" s="46"/>
    </row>
    <row r="380">
      <c r="A380" s="46"/>
      <c r="B380" s="46"/>
      <c r="C380" s="46"/>
    </row>
    <row r="381">
      <c r="A381" s="46"/>
      <c r="B381" s="46"/>
      <c r="C381" s="46"/>
    </row>
    <row r="382">
      <c r="A382" s="46"/>
      <c r="B382" s="46"/>
      <c r="C382" s="46"/>
    </row>
    <row r="383">
      <c r="A383" s="46"/>
      <c r="B383" s="46"/>
      <c r="C383" s="46"/>
    </row>
    <row r="384">
      <c r="A384" s="46"/>
      <c r="B384" s="46"/>
      <c r="C384" s="46"/>
    </row>
    <row r="385">
      <c r="A385" s="46"/>
      <c r="B385" s="46"/>
      <c r="C385" s="46"/>
    </row>
    <row r="386">
      <c r="A386" s="46"/>
      <c r="B386" s="46"/>
      <c r="C386" s="46"/>
    </row>
    <row r="387">
      <c r="A387" s="46"/>
      <c r="B387" s="46"/>
      <c r="C387" s="46"/>
    </row>
    <row r="388">
      <c r="A388" s="46"/>
      <c r="B388" s="46"/>
      <c r="C388" s="46"/>
    </row>
    <row r="389">
      <c r="A389" s="46"/>
      <c r="B389" s="46"/>
      <c r="C389" s="46"/>
    </row>
    <row r="390">
      <c r="A390" s="46"/>
      <c r="B390" s="46"/>
      <c r="C390" s="46"/>
    </row>
    <row r="391">
      <c r="A391" s="46"/>
      <c r="B391" s="46"/>
      <c r="C391" s="46"/>
    </row>
    <row r="392">
      <c r="A392" s="46"/>
      <c r="B392" s="46"/>
      <c r="C392" s="46"/>
    </row>
    <row r="393">
      <c r="A393" s="46"/>
      <c r="B393" s="46"/>
      <c r="C393" s="46"/>
    </row>
    <row r="394">
      <c r="A394" s="46"/>
      <c r="B394" s="46"/>
      <c r="C394" s="46"/>
    </row>
    <row r="395">
      <c r="A395" s="46"/>
      <c r="B395" s="46"/>
      <c r="C395" s="46"/>
    </row>
    <row r="396">
      <c r="A396" s="46"/>
      <c r="B396" s="46"/>
      <c r="C396" s="46"/>
    </row>
    <row r="397">
      <c r="A397" s="46"/>
      <c r="B397" s="46"/>
      <c r="C397" s="46"/>
    </row>
    <row r="398">
      <c r="A398" s="46"/>
      <c r="B398" s="46"/>
      <c r="C398" s="46"/>
    </row>
    <row r="399">
      <c r="A399" s="46"/>
      <c r="B399" s="46"/>
      <c r="C399" s="46"/>
    </row>
    <row r="400">
      <c r="A400" s="46"/>
      <c r="B400" s="46"/>
      <c r="C400" s="46"/>
    </row>
    <row r="401">
      <c r="A401" s="46"/>
      <c r="B401" s="46"/>
      <c r="C401" s="46"/>
    </row>
    <row r="402">
      <c r="A402" s="46"/>
      <c r="B402" s="46"/>
      <c r="C402" s="46"/>
    </row>
    <row r="403">
      <c r="A403" s="46"/>
      <c r="B403" s="46"/>
      <c r="C403" s="46"/>
    </row>
    <row r="404">
      <c r="A404" s="46"/>
      <c r="B404" s="46"/>
      <c r="C404" s="46"/>
    </row>
    <row r="405">
      <c r="A405" s="46"/>
      <c r="B405" s="46"/>
      <c r="C405" s="46"/>
    </row>
    <row r="406">
      <c r="A406" s="46"/>
      <c r="B406" s="46"/>
      <c r="C406" s="46"/>
    </row>
    <row r="407">
      <c r="A407" s="46"/>
      <c r="B407" s="46"/>
      <c r="C407" s="46"/>
    </row>
    <row r="408">
      <c r="A408" s="46"/>
      <c r="B408" s="46"/>
      <c r="C408" s="46"/>
    </row>
    <row r="409">
      <c r="A409" s="46"/>
      <c r="B409" s="46"/>
      <c r="C409" s="46"/>
    </row>
    <row r="410">
      <c r="A410" s="46"/>
      <c r="B410" s="46"/>
      <c r="C410" s="46"/>
    </row>
    <row r="411">
      <c r="A411" s="46"/>
      <c r="B411" s="46"/>
      <c r="C411" s="46"/>
    </row>
    <row r="412">
      <c r="A412" s="46"/>
      <c r="B412" s="46"/>
      <c r="C412" s="46"/>
    </row>
    <row r="413">
      <c r="A413" s="46"/>
      <c r="B413" s="46"/>
      <c r="C413" s="46"/>
    </row>
    <row r="414">
      <c r="A414" s="46"/>
      <c r="B414" s="46"/>
      <c r="C414" s="46"/>
    </row>
    <row r="415">
      <c r="A415" s="46"/>
      <c r="B415" s="46"/>
      <c r="C415" s="46"/>
    </row>
    <row r="416">
      <c r="A416" s="46"/>
      <c r="B416" s="46"/>
      <c r="C416" s="46"/>
    </row>
    <row r="417">
      <c r="A417" s="46"/>
      <c r="B417" s="46"/>
      <c r="C417" s="46"/>
    </row>
    <row r="418">
      <c r="A418" s="46"/>
      <c r="B418" s="46"/>
      <c r="C418" s="46"/>
    </row>
    <row r="419">
      <c r="A419" s="46"/>
      <c r="B419" s="46"/>
      <c r="C419" s="46"/>
    </row>
    <row r="420">
      <c r="A420" s="46"/>
      <c r="B420" s="46"/>
      <c r="C420" s="46"/>
    </row>
    <row r="421">
      <c r="A421" s="46"/>
      <c r="B421" s="46"/>
      <c r="C421" s="46"/>
    </row>
    <row r="422">
      <c r="A422" s="46"/>
      <c r="B422" s="46"/>
      <c r="C422" s="46"/>
    </row>
    <row r="423">
      <c r="A423" s="46"/>
      <c r="B423" s="46"/>
      <c r="C423" s="46"/>
    </row>
    <row r="424">
      <c r="A424" s="46"/>
      <c r="B424" s="46"/>
      <c r="C424" s="46"/>
    </row>
    <row r="425">
      <c r="A425" s="46"/>
      <c r="B425" s="46"/>
      <c r="C425" s="46"/>
    </row>
    <row r="426">
      <c r="A426" s="46"/>
      <c r="B426" s="46"/>
      <c r="C426" s="46"/>
    </row>
    <row r="427">
      <c r="A427" s="46"/>
      <c r="B427" s="46"/>
      <c r="C427" s="46"/>
    </row>
    <row r="428">
      <c r="A428" s="46"/>
      <c r="B428" s="46"/>
      <c r="C428" s="46"/>
    </row>
    <row r="429">
      <c r="A429" s="46"/>
      <c r="B429" s="46"/>
      <c r="C429" s="46"/>
    </row>
    <row r="430">
      <c r="A430" s="46"/>
      <c r="B430" s="46"/>
      <c r="C430" s="46"/>
    </row>
    <row r="431">
      <c r="A431" s="46"/>
      <c r="B431" s="46"/>
      <c r="C431" s="46"/>
    </row>
    <row r="432">
      <c r="A432" s="46"/>
      <c r="B432" s="46"/>
      <c r="C432" s="46"/>
    </row>
    <row r="433">
      <c r="A433" s="46"/>
      <c r="B433" s="46"/>
      <c r="C433" s="46"/>
    </row>
    <row r="434">
      <c r="A434" s="46"/>
      <c r="B434" s="46"/>
      <c r="C434" s="46"/>
    </row>
    <row r="435">
      <c r="A435" s="46"/>
      <c r="B435" s="46"/>
      <c r="C435" s="46"/>
    </row>
    <row r="436">
      <c r="A436" s="46"/>
      <c r="B436" s="46"/>
      <c r="C436" s="46"/>
    </row>
    <row r="437">
      <c r="A437" s="46"/>
      <c r="B437" s="46"/>
      <c r="C437" s="46"/>
    </row>
    <row r="438">
      <c r="A438" s="46"/>
      <c r="B438" s="46"/>
      <c r="C438" s="46"/>
    </row>
    <row r="439">
      <c r="A439" s="46"/>
      <c r="B439" s="46"/>
      <c r="C439" s="46"/>
    </row>
    <row r="440">
      <c r="A440" s="46"/>
      <c r="B440" s="46"/>
      <c r="C440" s="46"/>
    </row>
    <row r="441">
      <c r="A441" s="46"/>
      <c r="B441" s="46"/>
      <c r="C441" s="46"/>
    </row>
    <row r="442">
      <c r="A442" s="46"/>
      <c r="B442" s="46"/>
      <c r="C442" s="46"/>
    </row>
    <row r="443">
      <c r="A443" s="46"/>
      <c r="B443" s="46"/>
      <c r="C443" s="46"/>
    </row>
    <row r="444">
      <c r="A444" s="46"/>
      <c r="B444" s="46"/>
      <c r="C444" s="46"/>
    </row>
    <row r="445">
      <c r="A445" s="46"/>
      <c r="B445" s="46"/>
      <c r="C445" s="46"/>
    </row>
    <row r="446">
      <c r="A446" s="46"/>
      <c r="B446" s="46"/>
      <c r="C446" s="46"/>
    </row>
    <row r="447">
      <c r="A447" s="46"/>
      <c r="B447" s="46"/>
      <c r="C447" s="46"/>
    </row>
    <row r="448">
      <c r="A448" s="46"/>
      <c r="B448" s="46"/>
      <c r="C448" s="46"/>
    </row>
    <row r="449">
      <c r="A449" s="46"/>
      <c r="B449" s="46"/>
      <c r="C449" s="46"/>
    </row>
    <row r="450">
      <c r="A450" s="46"/>
      <c r="B450" s="46"/>
      <c r="C450" s="46"/>
    </row>
    <row r="451">
      <c r="A451" s="46"/>
      <c r="B451" s="46"/>
      <c r="C451" s="46"/>
    </row>
    <row r="452">
      <c r="A452" s="46"/>
      <c r="B452" s="46"/>
      <c r="C452" s="46"/>
    </row>
    <row r="453">
      <c r="A453" s="46"/>
      <c r="B453" s="46"/>
      <c r="C453" s="46"/>
    </row>
    <row r="454">
      <c r="A454" s="46"/>
      <c r="B454" s="46"/>
      <c r="C454" s="46"/>
    </row>
    <row r="455">
      <c r="A455" s="46"/>
      <c r="B455" s="46"/>
      <c r="C455" s="46"/>
    </row>
    <row r="456">
      <c r="A456" s="46"/>
      <c r="B456" s="46"/>
      <c r="C456" s="46"/>
    </row>
    <row r="457">
      <c r="A457" s="46"/>
      <c r="B457" s="46"/>
      <c r="C457" s="46"/>
    </row>
    <row r="458">
      <c r="A458" s="46"/>
      <c r="B458" s="46"/>
      <c r="C458" s="46"/>
    </row>
    <row r="459">
      <c r="A459" s="46"/>
      <c r="B459" s="46"/>
      <c r="C459" s="46"/>
    </row>
    <row r="460">
      <c r="A460" s="46"/>
      <c r="B460" s="46"/>
      <c r="C460" s="46"/>
    </row>
    <row r="461">
      <c r="A461" s="46"/>
      <c r="B461" s="46"/>
      <c r="C461" s="46"/>
    </row>
    <row r="462">
      <c r="A462" s="46"/>
      <c r="B462" s="46"/>
      <c r="C462" s="46"/>
    </row>
    <row r="463">
      <c r="A463" s="46"/>
      <c r="B463" s="46"/>
      <c r="C463" s="46"/>
    </row>
    <row r="464">
      <c r="A464" s="46"/>
      <c r="B464" s="46"/>
      <c r="C464" s="46"/>
    </row>
    <row r="465">
      <c r="A465" s="46"/>
      <c r="B465" s="46"/>
      <c r="C465" s="46"/>
    </row>
    <row r="466">
      <c r="A466" s="46"/>
      <c r="B466" s="46"/>
      <c r="C466" s="46"/>
    </row>
    <row r="467">
      <c r="A467" s="46"/>
      <c r="B467" s="46"/>
      <c r="C467" s="46"/>
    </row>
    <row r="468">
      <c r="A468" s="46"/>
      <c r="B468" s="46"/>
      <c r="C468" s="46"/>
    </row>
    <row r="469">
      <c r="A469" s="46"/>
      <c r="B469" s="46"/>
      <c r="C469" s="46"/>
    </row>
    <row r="470">
      <c r="A470" s="46"/>
      <c r="B470" s="46"/>
      <c r="C470" s="46"/>
    </row>
    <row r="471">
      <c r="A471" s="46"/>
      <c r="B471" s="46"/>
      <c r="C471" s="46"/>
    </row>
    <row r="472">
      <c r="A472" s="46"/>
      <c r="B472" s="46"/>
      <c r="C472" s="46"/>
    </row>
    <row r="473">
      <c r="A473" s="46"/>
      <c r="B473" s="46"/>
      <c r="C473" s="46"/>
    </row>
    <row r="474">
      <c r="A474" s="46"/>
      <c r="B474" s="46"/>
      <c r="C474" s="46"/>
    </row>
    <row r="475">
      <c r="A475" s="46"/>
      <c r="B475" s="46"/>
      <c r="C475" s="46"/>
    </row>
    <row r="476">
      <c r="A476" s="46"/>
      <c r="B476" s="46"/>
      <c r="C476" s="46"/>
    </row>
    <row r="477">
      <c r="A477" s="46"/>
      <c r="B477" s="46"/>
      <c r="C477" s="46"/>
    </row>
    <row r="478">
      <c r="A478" s="46"/>
      <c r="B478" s="46"/>
      <c r="C478" s="46"/>
    </row>
    <row r="479">
      <c r="A479" s="46"/>
      <c r="B479" s="46"/>
      <c r="C479" s="46"/>
    </row>
    <row r="480">
      <c r="A480" s="46"/>
      <c r="B480" s="46"/>
      <c r="C480" s="46"/>
    </row>
    <row r="481">
      <c r="A481" s="46"/>
      <c r="B481" s="46"/>
      <c r="C481" s="46"/>
    </row>
    <row r="482">
      <c r="A482" s="46"/>
      <c r="B482" s="46"/>
      <c r="C482" s="46"/>
    </row>
    <row r="483">
      <c r="A483" s="46"/>
      <c r="B483" s="46"/>
      <c r="C483" s="46"/>
    </row>
    <row r="484">
      <c r="A484" s="46"/>
      <c r="B484" s="46"/>
      <c r="C484" s="46"/>
    </row>
    <row r="485">
      <c r="A485" s="46"/>
      <c r="B485" s="46"/>
      <c r="C485" s="46"/>
    </row>
    <row r="486">
      <c r="A486" s="46"/>
      <c r="B486" s="46"/>
      <c r="C486" s="46"/>
    </row>
    <row r="487">
      <c r="A487" s="46"/>
      <c r="B487" s="46"/>
      <c r="C487" s="46"/>
    </row>
    <row r="488">
      <c r="A488" s="46"/>
      <c r="B488" s="46"/>
      <c r="C488" s="46"/>
    </row>
    <row r="489">
      <c r="A489" s="46"/>
      <c r="B489" s="46"/>
      <c r="C489" s="46"/>
    </row>
    <row r="490">
      <c r="A490" s="46"/>
      <c r="B490" s="46"/>
      <c r="C490" s="46"/>
    </row>
    <row r="491">
      <c r="A491" s="46"/>
      <c r="B491" s="46"/>
      <c r="C491" s="46"/>
    </row>
    <row r="492">
      <c r="A492" s="46"/>
      <c r="B492" s="46"/>
      <c r="C492" s="46"/>
    </row>
    <row r="493">
      <c r="A493" s="46"/>
      <c r="B493" s="46"/>
      <c r="C493" s="46"/>
    </row>
    <row r="494">
      <c r="A494" s="46"/>
      <c r="B494" s="46"/>
      <c r="C494" s="46"/>
    </row>
    <row r="495">
      <c r="A495" s="46"/>
      <c r="B495" s="46"/>
      <c r="C495" s="46"/>
    </row>
    <row r="496">
      <c r="A496" s="46"/>
      <c r="B496" s="46"/>
      <c r="C496" s="46"/>
    </row>
    <row r="497">
      <c r="A497" s="46"/>
      <c r="B497" s="46"/>
      <c r="C497" s="46"/>
    </row>
    <row r="498">
      <c r="A498" s="46"/>
      <c r="B498" s="46"/>
      <c r="C498" s="46"/>
    </row>
    <row r="499">
      <c r="A499" s="46"/>
      <c r="B499" s="46"/>
      <c r="C499" s="46"/>
    </row>
    <row r="500">
      <c r="A500" s="46"/>
      <c r="B500" s="46"/>
      <c r="C500" s="46"/>
    </row>
    <row r="501">
      <c r="A501" s="46"/>
      <c r="B501" s="46"/>
      <c r="C501" s="46"/>
    </row>
    <row r="502">
      <c r="A502" s="46"/>
      <c r="B502" s="46"/>
      <c r="C502" s="46"/>
    </row>
    <row r="503">
      <c r="A503" s="46"/>
      <c r="B503" s="46"/>
      <c r="C503" s="46"/>
    </row>
    <row r="504">
      <c r="A504" s="46"/>
      <c r="B504" s="46"/>
      <c r="C504" s="46"/>
    </row>
    <row r="505">
      <c r="A505" s="46"/>
      <c r="B505" s="46"/>
      <c r="C505" s="46"/>
    </row>
    <row r="506">
      <c r="A506" s="46"/>
      <c r="B506" s="46"/>
      <c r="C506" s="46"/>
    </row>
    <row r="507">
      <c r="A507" s="46"/>
      <c r="B507" s="46"/>
      <c r="C507" s="46"/>
    </row>
    <row r="508">
      <c r="A508" s="46"/>
      <c r="B508" s="46"/>
      <c r="C508" s="46"/>
    </row>
    <row r="509">
      <c r="A509" s="46"/>
      <c r="B509" s="46"/>
      <c r="C509" s="46"/>
    </row>
    <row r="510">
      <c r="A510" s="46"/>
      <c r="B510" s="46"/>
      <c r="C510" s="46"/>
    </row>
    <row r="511">
      <c r="A511" s="46"/>
      <c r="B511" s="46"/>
      <c r="C511" s="46"/>
    </row>
    <row r="512">
      <c r="A512" s="46"/>
      <c r="B512" s="46"/>
      <c r="C512" s="46"/>
    </row>
    <row r="513">
      <c r="A513" s="46"/>
      <c r="B513" s="46"/>
      <c r="C513" s="46"/>
    </row>
    <row r="514">
      <c r="A514" s="46"/>
      <c r="B514" s="46"/>
      <c r="C514" s="46"/>
    </row>
    <row r="515">
      <c r="A515" s="46"/>
      <c r="B515" s="46"/>
      <c r="C515" s="46"/>
    </row>
    <row r="516">
      <c r="A516" s="46"/>
      <c r="B516" s="46"/>
      <c r="C516" s="46"/>
    </row>
    <row r="517">
      <c r="A517" s="46"/>
      <c r="B517" s="46"/>
      <c r="C517" s="46"/>
    </row>
    <row r="518">
      <c r="A518" s="46"/>
      <c r="B518" s="46"/>
      <c r="C518" s="46"/>
    </row>
    <row r="519">
      <c r="A519" s="46"/>
      <c r="B519" s="46"/>
      <c r="C519" s="46"/>
    </row>
    <row r="520">
      <c r="A520" s="46"/>
      <c r="B520" s="46"/>
      <c r="C520" s="46"/>
    </row>
    <row r="521">
      <c r="A521" s="46"/>
      <c r="B521" s="46"/>
      <c r="C521" s="46"/>
    </row>
    <row r="522">
      <c r="A522" s="46"/>
      <c r="B522" s="46"/>
      <c r="C522" s="46"/>
    </row>
    <row r="523">
      <c r="A523" s="46"/>
      <c r="B523" s="46"/>
      <c r="C523" s="46"/>
    </row>
    <row r="524">
      <c r="A524" s="46"/>
      <c r="B524" s="46"/>
      <c r="C524" s="46"/>
    </row>
    <row r="525">
      <c r="A525" s="46"/>
      <c r="B525" s="46"/>
      <c r="C525" s="46"/>
    </row>
    <row r="526">
      <c r="A526" s="46"/>
      <c r="B526" s="46"/>
      <c r="C526" s="46"/>
    </row>
    <row r="527">
      <c r="A527" s="46"/>
      <c r="B527" s="46"/>
      <c r="C527" s="46"/>
    </row>
    <row r="528">
      <c r="A528" s="46"/>
      <c r="B528" s="46"/>
      <c r="C528" s="46"/>
    </row>
    <row r="529">
      <c r="A529" s="46"/>
      <c r="B529" s="46"/>
      <c r="C529" s="46"/>
    </row>
    <row r="530">
      <c r="A530" s="46"/>
      <c r="B530" s="46"/>
      <c r="C530" s="46"/>
    </row>
    <row r="531">
      <c r="A531" s="46"/>
      <c r="B531" s="46"/>
      <c r="C531" s="46"/>
    </row>
    <row r="532">
      <c r="A532" s="46"/>
      <c r="B532" s="46"/>
      <c r="C532" s="46"/>
    </row>
    <row r="533">
      <c r="A533" s="46"/>
      <c r="B533" s="46"/>
      <c r="C533" s="46"/>
    </row>
    <row r="534">
      <c r="A534" s="46"/>
      <c r="B534" s="46"/>
      <c r="C534" s="46"/>
    </row>
    <row r="535">
      <c r="A535" s="46"/>
      <c r="B535" s="46"/>
      <c r="C535" s="46"/>
    </row>
    <row r="536">
      <c r="A536" s="46"/>
      <c r="B536" s="46"/>
      <c r="C536" s="46"/>
    </row>
    <row r="537">
      <c r="A537" s="46"/>
      <c r="B537" s="46"/>
      <c r="C537" s="46"/>
    </row>
    <row r="538">
      <c r="A538" s="46"/>
      <c r="B538" s="46"/>
      <c r="C538" s="46"/>
    </row>
    <row r="539">
      <c r="A539" s="46"/>
      <c r="B539" s="46"/>
      <c r="C539" s="46"/>
    </row>
    <row r="540">
      <c r="A540" s="46"/>
      <c r="B540" s="46"/>
      <c r="C540" s="46"/>
    </row>
    <row r="541">
      <c r="A541" s="46"/>
      <c r="B541" s="46"/>
      <c r="C541" s="46"/>
    </row>
    <row r="542">
      <c r="A542" s="46"/>
      <c r="B542" s="46"/>
      <c r="C542" s="46"/>
    </row>
    <row r="543">
      <c r="A543" s="46"/>
      <c r="B543" s="46"/>
      <c r="C543" s="46"/>
    </row>
    <row r="544">
      <c r="A544" s="46"/>
      <c r="B544" s="46"/>
      <c r="C544" s="46"/>
    </row>
    <row r="545">
      <c r="A545" s="46"/>
      <c r="B545" s="46"/>
      <c r="C545" s="46"/>
    </row>
    <row r="546">
      <c r="A546" s="46"/>
      <c r="B546" s="46"/>
      <c r="C546" s="46"/>
    </row>
    <row r="547">
      <c r="A547" s="46"/>
      <c r="B547" s="46"/>
      <c r="C547" s="46"/>
    </row>
    <row r="548">
      <c r="A548" s="46"/>
      <c r="B548" s="46"/>
      <c r="C548" s="46"/>
    </row>
    <row r="549">
      <c r="A549" s="46"/>
      <c r="B549" s="46"/>
      <c r="C549" s="46"/>
    </row>
    <row r="550">
      <c r="A550" s="46"/>
      <c r="B550" s="46"/>
      <c r="C550" s="46"/>
    </row>
    <row r="551">
      <c r="A551" s="46"/>
      <c r="B551" s="46"/>
      <c r="C551" s="46"/>
    </row>
    <row r="552">
      <c r="A552" s="46"/>
      <c r="B552" s="46"/>
      <c r="C552" s="46"/>
    </row>
    <row r="553">
      <c r="A553" s="46"/>
      <c r="B553" s="46"/>
      <c r="C553" s="46"/>
    </row>
    <row r="554">
      <c r="A554" s="46"/>
      <c r="B554" s="46"/>
      <c r="C554" s="46"/>
    </row>
    <row r="555">
      <c r="A555" s="46"/>
      <c r="B555" s="46"/>
      <c r="C555" s="46"/>
    </row>
    <row r="556">
      <c r="A556" s="46"/>
      <c r="B556" s="46"/>
      <c r="C556" s="46"/>
    </row>
    <row r="557">
      <c r="A557" s="46"/>
      <c r="B557" s="46"/>
      <c r="C557" s="46"/>
    </row>
    <row r="558">
      <c r="A558" s="46"/>
      <c r="B558" s="46"/>
      <c r="C558" s="46"/>
    </row>
    <row r="559">
      <c r="A559" s="46"/>
      <c r="B559" s="46"/>
      <c r="C559" s="46"/>
    </row>
    <row r="560">
      <c r="A560" s="46"/>
      <c r="B560" s="46"/>
      <c r="C560" s="46"/>
    </row>
    <row r="561">
      <c r="A561" s="46"/>
      <c r="B561" s="46"/>
      <c r="C561" s="46"/>
    </row>
    <row r="562">
      <c r="A562" s="46"/>
      <c r="B562" s="46"/>
      <c r="C562" s="46"/>
    </row>
    <row r="563">
      <c r="A563" s="46"/>
      <c r="B563" s="46"/>
      <c r="C563" s="46"/>
    </row>
    <row r="564">
      <c r="A564" s="46"/>
      <c r="B564" s="46"/>
      <c r="C564" s="46"/>
    </row>
    <row r="565">
      <c r="A565" s="46"/>
      <c r="B565" s="46"/>
      <c r="C565" s="46"/>
    </row>
    <row r="566">
      <c r="A566" s="46"/>
      <c r="B566" s="46"/>
      <c r="C566" s="46"/>
    </row>
    <row r="567">
      <c r="A567" s="46"/>
      <c r="B567" s="46"/>
      <c r="C567" s="46"/>
    </row>
    <row r="568">
      <c r="A568" s="46"/>
      <c r="B568" s="46"/>
      <c r="C568" s="46"/>
    </row>
    <row r="569">
      <c r="A569" s="46"/>
      <c r="B569" s="46"/>
      <c r="C569" s="46"/>
    </row>
    <row r="570">
      <c r="A570" s="46"/>
      <c r="B570" s="46"/>
      <c r="C570" s="46"/>
    </row>
    <row r="571">
      <c r="A571" s="46"/>
      <c r="B571" s="46"/>
      <c r="C571" s="46"/>
    </row>
    <row r="572">
      <c r="A572" s="46"/>
      <c r="B572" s="46"/>
      <c r="C572" s="46"/>
    </row>
    <row r="573">
      <c r="A573" s="46"/>
      <c r="B573" s="46"/>
      <c r="C573" s="46"/>
    </row>
    <row r="574">
      <c r="A574" s="46"/>
      <c r="B574" s="46"/>
      <c r="C574" s="46"/>
    </row>
    <row r="575">
      <c r="A575" s="46"/>
      <c r="B575" s="46"/>
      <c r="C575" s="46"/>
    </row>
    <row r="576">
      <c r="A576" s="46"/>
      <c r="B576" s="46"/>
      <c r="C576" s="46"/>
    </row>
    <row r="577">
      <c r="A577" s="46"/>
      <c r="B577" s="46"/>
      <c r="C577" s="46"/>
    </row>
    <row r="578">
      <c r="A578" s="46"/>
      <c r="B578" s="46"/>
      <c r="C578" s="46"/>
    </row>
    <row r="579">
      <c r="A579" s="46"/>
      <c r="B579" s="46"/>
      <c r="C579" s="46"/>
    </row>
    <row r="580">
      <c r="A580" s="46"/>
      <c r="B580" s="46"/>
      <c r="C580" s="46"/>
    </row>
    <row r="581">
      <c r="A581" s="46"/>
      <c r="B581" s="46"/>
      <c r="C581" s="46"/>
    </row>
    <row r="582">
      <c r="A582" s="46"/>
      <c r="B582" s="46"/>
      <c r="C582" s="46"/>
    </row>
    <row r="583">
      <c r="A583" s="46"/>
      <c r="B583" s="46"/>
      <c r="C583" s="46"/>
    </row>
    <row r="584">
      <c r="A584" s="46"/>
      <c r="B584" s="46"/>
      <c r="C584" s="46"/>
    </row>
    <row r="585">
      <c r="A585" s="46"/>
      <c r="B585" s="46"/>
      <c r="C585" s="46"/>
    </row>
    <row r="586">
      <c r="A586" s="46"/>
      <c r="B586" s="46"/>
      <c r="C586" s="46"/>
    </row>
    <row r="587">
      <c r="A587" s="46"/>
      <c r="B587" s="46"/>
      <c r="C587" s="46"/>
    </row>
    <row r="588">
      <c r="A588" s="46"/>
      <c r="B588" s="46"/>
      <c r="C588" s="46"/>
    </row>
    <row r="589">
      <c r="A589" s="46"/>
      <c r="B589" s="46"/>
      <c r="C589" s="46"/>
    </row>
    <row r="590">
      <c r="A590" s="46"/>
      <c r="B590" s="46"/>
      <c r="C590" s="46"/>
    </row>
    <row r="591">
      <c r="A591" s="46"/>
      <c r="B591" s="46"/>
      <c r="C591" s="46"/>
    </row>
    <row r="592">
      <c r="A592" s="46"/>
      <c r="B592" s="46"/>
      <c r="C592" s="46"/>
    </row>
    <row r="593">
      <c r="A593" s="46"/>
      <c r="B593" s="46"/>
      <c r="C593" s="46"/>
    </row>
    <row r="594">
      <c r="A594" s="46"/>
      <c r="B594" s="46"/>
      <c r="C594" s="46"/>
    </row>
    <row r="595">
      <c r="A595" s="46"/>
      <c r="B595" s="46"/>
      <c r="C595" s="46"/>
    </row>
    <row r="596">
      <c r="A596" s="46"/>
      <c r="B596" s="46"/>
      <c r="C596" s="46"/>
    </row>
    <row r="597">
      <c r="A597" s="46"/>
      <c r="B597" s="46"/>
      <c r="C597" s="46"/>
    </row>
    <row r="598">
      <c r="A598" s="46"/>
      <c r="B598" s="46"/>
      <c r="C598" s="46"/>
    </row>
    <row r="599">
      <c r="A599" s="46"/>
      <c r="B599" s="46"/>
      <c r="C599" s="46"/>
    </row>
    <row r="600">
      <c r="A600" s="46"/>
      <c r="B600" s="46"/>
      <c r="C600" s="46"/>
    </row>
    <row r="601">
      <c r="A601" s="46"/>
      <c r="B601" s="46"/>
      <c r="C601" s="46"/>
    </row>
    <row r="602">
      <c r="A602" s="46"/>
      <c r="B602" s="46"/>
      <c r="C602" s="46"/>
    </row>
    <row r="603">
      <c r="A603" s="46"/>
      <c r="B603" s="46"/>
      <c r="C603" s="46"/>
    </row>
    <row r="604">
      <c r="A604" s="46"/>
      <c r="B604" s="46"/>
      <c r="C604" s="46"/>
    </row>
    <row r="605">
      <c r="A605" s="46"/>
      <c r="B605" s="46"/>
      <c r="C605" s="46"/>
    </row>
    <row r="606">
      <c r="A606" s="46"/>
      <c r="B606" s="46"/>
      <c r="C606" s="46"/>
    </row>
    <row r="607">
      <c r="A607" s="46"/>
      <c r="B607" s="46"/>
      <c r="C607" s="46"/>
    </row>
    <row r="608">
      <c r="A608" s="46"/>
      <c r="B608" s="46"/>
      <c r="C608" s="46"/>
    </row>
    <row r="609">
      <c r="A609" s="46"/>
      <c r="B609" s="46"/>
      <c r="C609" s="46"/>
    </row>
    <row r="610">
      <c r="A610" s="46"/>
      <c r="B610" s="46"/>
      <c r="C610" s="46"/>
    </row>
    <row r="611">
      <c r="A611" s="46"/>
      <c r="B611" s="46"/>
      <c r="C611" s="46"/>
    </row>
    <row r="612">
      <c r="A612" s="46"/>
      <c r="B612" s="46"/>
      <c r="C612" s="46"/>
    </row>
    <row r="613">
      <c r="A613" s="46"/>
      <c r="B613" s="46"/>
      <c r="C613" s="46"/>
    </row>
    <row r="614">
      <c r="A614" s="46"/>
      <c r="B614" s="46"/>
      <c r="C614" s="46"/>
    </row>
    <row r="615">
      <c r="A615" s="46"/>
      <c r="B615" s="46"/>
      <c r="C615" s="46"/>
    </row>
    <row r="616">
      <c r="A616" s="46"/>
      <c r="B616" s="46"/>
      <c r="C616" s="46"/>
    </row>
    <row r="617">
      <c r="A617" s="46"/>
      <c r="B617" s="46"/>
      <c r="C617" s="46"/>
    </row>
    <row r="618">
      <c r="A618" s="46"/>
      <c r="B618" s="46"/>
      <c r="C618" s="46"/>
    </row>
    <row r="619">
      <c r="A619" s="46"/>
      <c r="B619" s="46"/>
      <c r="C619" s="46"/>
    </row>
    <row r="620">
      <c r="A620" s="46"/>
      <c r="B620" s="46"/>
      <c r="C620" s="46"/>
    </row>
    <row r="621">
      <c r="A621" s="46"/>
      <c r="B621" s="46"/>
      <c r="C621" s="46"/>
    </row>
    <row r="622">
      <c r="A622" s="46"/>
      <c r="B622" s="46"/>
      <c r="C622" s="46"/>
    </row>
    <row r="623">
      <c r="A623" s="46"/>
      <c r="B623" s="46"/>
      <c r="C623" s="46"/>
    </row>
    <row r="624">
      <c r="A624" s="46"/>
      <c r="B624" s="46"/>
      <c r="C624" s="46"/>
    </row>
    <row r="625">
      <c r="A625" s="46"/>
      <c r="B625" s="46"/>
      <c r="C625" s="46"/>
    </row>
    <row r="626">
      <c r="A626" s="46"/>
      <c r="B626" s="46"/>
      <c r="C626" s="46"/>
    </row>
    <row r="627">
      <c r="A627" s="46"/>
      <c r="B627" s="46"/>
      <c r="C627" s="46"/>
    </row>
    <row r="628">
      <c r="A628" s="46"/>
      <c r="B628" s="46"/>
      <c r="C628" s="46"/>
    </row>
    <row r="629">
      <c r="A629" s="46"/>
      <c r="B629" s="46"/>
      <c r="C629" s="46"/>
    </row>
    <row r="630">
      <c r="A630" s="46"/>
      <c r="B630" s="46"/>
      <c r="C630" s="46"/>
    </row>
    <row r="631">
      <c r="A631" s="46"/>
      <c r="B631" s="46"/>
      <c r="C631" s="46"/>
    </row>
    <row r="632">
      <c r="A632" s="46"/>
      <c r="B632" s="46"/>
      <c r="C632" s="46"/>
    </row>
    <row r="633">
      <c r="A633" s="46"/>
      <c r="B633" s="46"/>
      <c r="C633" s="46"/>
    </row>
    <row r="634">
      <c r="A634" s="46"/>
      <c r="B634" s="46"/>
      <c r="C634" s="46"/>
    </row>
    <row r="635">
      <c r="A635" s="46"/>
      <c r="B635" s="46"/>
      <c r="C635" s="46"/>
    </row>
    <row r="636">
      <c r="A636" s="46"/>
      <c r="B636" s="46"/>
      <c r="C636" s="46"/>
    </row>
    <row r="637">
      <c r="A637" s="46"/>
      <c r="B637" s="46"/>
      <c r="C637" s="46"/>
    </row>
    <row r="638">
      <c r="A638" s="46"/>
      <c r="B638" s="46"/>
      <c r="C638" s="46"/>
    </row>
    <row r="639">
      <c r="A639" s="46"/>
      <c r="B639" s="46"/>
      <c r="C639" s="46"/>
    </row>
    <row r="640">
      <c r="A640" s="46"/>
      <c r="B640" s="46"/>
      <c r="C640" s="46"/>
    </row>
    <row r="641">
      <c r="A641" s="46"/>
      <c r="B641" s="46"/>
      <c r="C641" s="46"/>
    </row>
    <row r="642">
      <c r="A642" s="46"/>
      <c r="B642" s="46"/>
      <c r="C642" s="46"/>
    </row>
    <row r="643">
      <c r="A643" s="46"/>
      <c r="B643" s="46"/>
      <c r="C643" s="46"/>
    </row>
    <row r="644">
      <c r="A644" s="46"/>
      <c r="B644" s="46"/>
      <c r="C644" s="46"/>
    </row>
    <row r="645">
      <c r="A645" s="46"/>
      <c r="B645" s="46"/>
      <c r="C645" s="46"/>
    </row>
    <row r="646">
      <c r="A646" s="46"/>
      <c r="B646" s="46"/>
      <c r="C646" s="46"/>
    </row>
    <row r="647">
      <c r="A647" s="46"/>
      <c r="B647" s="46"/>
      <c r="C647" s="46"/>
    </row>
    <row r="648">
      <c r="A648" s="46"/>
      <c r="B648" s="46"/>
      <c r="C648" s="46"/>
    </row>
    <row r="649">
      <c r="A649" s="46"/>
      <c r="B649" s="46"/>
      <c r="C649" s="46"/>
    </row>
    <row r="650">
      <c r="A650" s="46"/>
      <c r="B650" s="46"/>
      <c r="C650" s="46"/>
    </row>
    <row r="651">
      <c r="A651" s="46"/>
      <c r="B651" s="46"/>
      <c r="C651" s="46"/>
    </row>
    <row r="652">
      <c r="A652" s="46"/>
      <c r="B652" s="46"/>
      <c r="C652" s="46"/>
    </row>
    <row r="653">
      <c r="A653" s="46"/>
      <c r="B653" s="46"/>
      <c r="C653" s="46"/>
    </row>
    <row r="654">
      <c r="A654" s="46"/>
      <c r="B654" s="46"/>
      <c r="C654" s="46"/>
    </row>
    <row r="655">
      <c r="A655" s="46"/>
      <c r="B655" s="46"/>
      <c r="C655" s="46"/>
    </row>
    <row r="656">
      <c r="A656" s="46"/>
      <c r="B656" s="46"/>
      <c r="C656" s="46"/>
    </row>
    <row r="657">
      <c r="A657" s="46"/>
      <c r="B657" s="46"/>
      <c r="C657" s="46"/>
    </row>
    <row r="658">
      <c r="A658" s="46"/>
      <c r="B658" s="46"/>
      <c r="C658" s="46"/>
    </row>
    <row r="659">
      <c r="A659" s="46"/>
      <c r="B659" s="46"/>
      <c r="C659" s="46"/>
    </row>
    <row r="660">
      <c r="A660" s="46"/>
      <c r="B660" s="46"/>
      <c r="C660" s="46"/>
    </row>
    <row r="661">
      <c r="A661" s="46"/>
      <c r="B661" s="46"/>
      <c r="C661" s="46"/>
    </row>
    <row r="662">
      <c r="A662" s="46"/>
      <c r="B662" s="46"/>
      <c r="C662" s="46"/>
    </row>
    <row r="663">
      <c r="A663" s="46"/>
      <c r="B663" s="46"/>
      <c r="C663" s="46"/>
    </row>
    <row r="664">
      <c r="A664" s="46"/>
      <c r="B664" s="46"/>
      <c r="C664" s="46"/>
    </row>
    <row r="665">
      <c r="A665" s="46"/>
      <c r="B665" s="46"/>
      <c r="C665" s="46"/>
    </row>
    <row r="666">
      <c r="A666" s="46"/>
      <c r="B666" s="46"/>
      <c r="C666" s="46"/>
    </row>
    <row r="667">
      <c r="A667" s="46"/>
      <c r="B667" s="46"/>
      <c r="C667" s="46"/>
    </row>
    <row r="668">
      <c r="A668" s="46"/>
      <c r="B668" s="46"/>
      <c r="C668" s="46"/>
    </row>
    <row r="669">
      <c r="A669" s="46"/>
      <c r="B669" s="46"/>
      <c r="C669" s="46"/>
    </row>
    <row r="670">
      <c r="A670" s="46"/>
      <c r="B670" s="46"/>
      <c r="C670" s="46"/>
    </row>
    <row r="671">
      <c r="A671" s="46"/>
      <c r="B671" s="46"/>
      <c r="C671" s="46"/>
    </row>
    <row r="672">
      <c r="A672" s="46"/>
      <c r="B672" s="46"/>
      <c r="C672" s="46"/>
    </row>
    <row r="673">
      <c r="A673" s="46"/>
      <c r="B673" s="46"/>
      <c r="C673" s="46"/>
    </row>
    <row r="674">
      <c r="A674" s="46"/>
      <c r="B674" s="46"/>
      <c r="C674" s="46"/>
    </row>
    <row r="675">
      <c r="A675" s="46"/>
      <c r="B675" s="46"/>
      <c r="C675" s="46"/>
    </row>
    <row r="676">
      <c r="A676" s="46"/>
      <c r="B676" s="46"/>
      <c r="C676" s="46"/>
    </row>
    <row r="677">
      <c r="A677" s="46"/>
      <c r="B677" s="46"/>
      <c r="C677" s="46"/>
    </row>
    <row r="678">
      <c r="A678" s="46"/>
      <c r="B678" s="46"/>
      <c r="C678" s="46"/>
    </row>
    <row r="679">
      <c r="A679" s="46"/>
      <c r="B679" s="46"/>
      <c r="C679" s="46"/>
    </row>
    <row r="680">
      <c r="A680" s="46"/>
      <c r="B680" s="46"/>
      <c r="C680" s="46"/>
    </row>
    <row r="681">
      <c r="A681" s="46"/>
      <c r="B681" s="46"/>
      <c r="C681" s="46"/>
    </row>
    <row r="682">
      <c r="A682" s="46"/>
      <c r="B682" s="46"/>
      <c r="C682" s="46"/>
    </row>
    <row r="683">
      <c r="A683" s="46"/>
      <c r="B683" s="46"/>
      <c r="C683" s="46"/>
    </row>
    <row r="684">
      <c r="A684" s="46"/>
      <c r="B684" s="46"/>
      <c r="C684" s="46"/>
    </row>
    <row r="685">
      <c r="A685" s="46"/>
      <c r="B685" s="46"/>
      <c r="C685" s="46"/>
    </row>
    <row r="686">
      <c r="A686" s="46"/>
      <c r="B686" s="46"/>
      <c r="C686" s="46"/>
    </row>
    <row r="687">
      <c r="A687" s="46"/>
      <c r="B687" s="46"/>
      <c r="C687" s="46"/>
    </row>
    <row r="688">
      <c r="A688" s="46"/>
      <c r="B688" s="46"/>
      <c r="C688" s="46"/>
    </row>
    <row r="689">
      <c r="A689" s="46"/>
      <c r="B689" s="46"/>
      <c r="C689" s="46"/>
    </row>
    <row r="690">
      <c r="A690" s="46"/>
      <c r="B690" s="46"/>
      <c r="C690" s="46"/>
    </row>
    <row r="691">
      <c r="A691" s="46"/>
      <c r="B691" s="46"/>
      <c r="C691" s="46"/>
    </row>
    <row r="692">
      <c r="A692" s="46"/>
      <c r="B692" s="46"/>
      <c r="C692" s="46"/>
    </row>
    <row r="693">
      <c r="A693" s="46"/>
      <c r="B693" s="46"/>
      <c r="C693" s="46"/>
    </row>
    <row r="694">
      <c r="A694" s="46"/>
      <c r="B694" s="46"/>
      <c r="C694" s="46"/>
    </row>
    <row r="695">
      <c r="A695" s="46"/>
      <c r="B695" s="46"/>
      <c r="C695" s="46"/>
    </row>
    <row r="696">
      <c r="A696" s="46"/>
      <c r="B696" s="46"/>
      <c r="C696" s="46"/>
    </row>
    <row r="697">
      <c r="A697" s="46"/>
      <c r="B697" s="46"/>
      <c r="C697" s="46"/>
    </row>
    <row r="698">
      <c r="A698" s="46"/>
      <c r="B698" s="46"/>
      <c r="C698" s="46"/>
    </row>
    <row r="699">
      <c r="A699" s="46"/>
      <c r="B699" s="46"/>
      <c r="C699" s="46"/>
    </row>
    <row r="700">
      <c r="A700" s="46"/>
      <c r="B700" s="46"/>
      <c r="C700" s="46"/>
    </row>
    <row r="701">
      <c r="A701" s="46"/>
      <c r="B701" s="46"/>
      <c r="C701" s="46"/>
    </row>
    <row r="702">
      <c r="A702" s="46"/>
      <c r="B702" s="46"/>
      <c r="C702" s="46"/>
    </row>
    <row r="703">
      <c r="A703" s="46"/>
      <c r="B703" s="46"/>
      <c r="C703" s="46"/>
    </row>
    <row r="704">
      <c r="A704" s="46"/>
      <c r="B704" s="46"/>
      <c r="C704" s="46"/>
    </row>
    <row r="705">
      <c r="A705" s="46"/>
      <c r="B705" s="46"/>
      <c r="C705" s="46"/>
    </row>
    <row r="706">
      <c r="A706" s="46"/>
      <c r="B706" s="46"/>
      <c r="C706" s="46"/>
    </row>
    <row r="707">
      <c r="A707" s="46"/>
      <c r="B707" s="46"/>
      <c r="C707" s="46"/>
    </row>
    <row r="708">
      <c r="A708" s="46"/>
      <c r="B708" s="46"/>
      <c r="C708" s="46"/>
    </row>
    <row r="709">
      <c r="A709" s="46"/>
      <c r="B709" s="46"/>
      <c r="C709" s="46"/>
    </row>
    <row r="710">
      <c r="A710" s="46"/>
      <c r="B710" s="46"/>
      <c r="C710" s="46"/>
    </row>
    <row r="711">
      <c r="A711" s="46"/>
      <c r="B711" s="46"/>
      <c r="C711" s="46"/>
    </row>
    <row r="712">
      <c r="A712" s="46"/>
      <c r="B712" s="46"/>
      <c r="C712" s="46"/>
    </row>
    <row r="713">
      <c r="A713" s="46"/>
      <c r="B713" s="46"/>
      <c r="C713" s="46"/>
    </row>
    <row r="714">
      <c r="A714" s="46"/>
      <c r="B714" s="46"/>
      <c r="C714" s="46"/>
    </row>
    <row r="715">
      <c r="A715" s="46"/>
      <c r="B715" s="46"/>
      <c r="C715" s="46"/>
    </row>
    <row r="716">
      <c r="A716" s="46"/>
      <c r="B716" s="46"/>
      <c r="C716" s="46"/>
    </row>
    <row r="717">
      <c r="A717" s="46"/>
      <c r="B717" s="46"/>
      <c r="C717" s="46"/>
    </row>
    <row r="718">
      <c r="A718" s="46"/>
      <c r="B718" s="46"/>
      <c r="C718" s="46"/>
    </row>
    <row r="719">
      <c r="A719" s="46"/>
      <c r="B719" s="46"/>
      <c r="C719" s="46"/>
    </row>
    <row r="720">
      <c r="A720" s="46"/>
      <c r="B720" s="46"/>
      <c r="C720" s="46"/>
    </row>
    <row r="721">
      <c r="A721" s="46"/>
      <c r="B721" s="46"/>
      <c r="C721" s="46"/>
    </row>
    <row r="722">
      <c r="A722" s="46"/>
      <c r="B722" s="46"/>
      <c r="C722" s="46"/>
    </row>
    <row r="723">
      <c r="A723" s="46"/>
      <c r="B723" s="46"/>
      <c r="C723" s="46"/>
    </row>
    <row r="724">
      <c r="A724" s="46"/>
      <c r="B724" s="46"/>
      <c r="C724" s="46"/>
    </row>
    <row r="725">
      <c r="A725" s="46"/>
      <c r="B725" s="46"/>
      <c r="C725" s="46"/>
    </row>
    <row r="726">
      <c r="A726" s="46"/>
      <c r="B726" s="46"/>
      <c r="C726" s="46"/>
    </row>
    <row r="727">
      <c r="A727" s="46"/>
      <c r="B727" s="46"/>
      <c r="C727" s="46"/>
    </row>
    <row r="728">
      <c r="A728" s="46"/>
      <c r="B728" s="46"/>
      <c r="C728" s="46"/>
    </row>
    <row r="729">
      <c r="A729" s="46"/>
      <c r="B729" s="46"/>
      <c r="C729" s="46"/>
    </row>
    <row r="730">
      <c r="A730" s="46"/>
      <c r="B730" s="46"/>
      <c r="C730" s="46"/>
    </row>
    <row r="731">
      <c r="A731" s="46"/>
      <c r="B731" s="46"/>
      <c r="C731" s="46"/>
    </row>
    <row r="732">
      <c r="A732" s="46"/>
      <c r="B732" s="46"/>
      <c r="C732" s="46"/>
    </row>
    <row r="733">
      <c r="A733" s="46"/>
      <c r="B733" s="46"/>
      <c r="C733" s="46"/>
    </row>
    <row r="734">
      <c r="A734" s="46"/>
      <c r="B734" s="46"/>
      <c r="C734" s="46"/>
    </row>
    <row r="735">
      <c r="A735" s="46"/>
      <c r="B735" s="46"/>
      <c r="C735" s="46"/>
    </row>
    <row r="736">
      <c r="A736" s="46"/>
      <c r="B736" s="46"/>
      <c r="C736" s="46"/>
    </row>
    <row r="737">
      <c r="A737" s="46"/>
      <c r="B737" s="46"/>
      <c r="C737" s="46"/>
    </row>
    <row r="738">
      <c r="A738" s="46"/>
      <c r="B738" s="46"/>
      <c r="C738" s="46"/>
    </row>
    <row r="739">
      <c r="A739" s="46"/>
      <c r="B739" s="46"/>
      <c r="C739" s="46"/>
    </row>
    <row r="740">
      <c r="A740" s="46"/>
      <c r="B740" s="46"/>
      <c r="C740" s="46"/>
    </row>
    <row r="741">
      <c r="A741" s="46"/>
      <c r="B741" s="46"/>
      <c r="C741" s="46"/>
    </row>
    <row r="742">
      <c r="A742" s="46"/>
      <c r="B742" s="46"/>
      <c r="C742" s="46"/>
    </row>
    <row r="743">
      <c r="A743" s="46"/>
      <c r="B743" s="46"/>
      <c r="C743" s="46"/>
    </row>
    <row r="744">
      <c r="A744" s="46"/>
      <c r="B744" s="46"/>
      <c r="C744" s="46"/>
    </row>
    <row r="745">
      <c r="A745" s="46"/>
      <c r="B745" s="46"/>
      <c r="C745" s="46"/>
    </row>
    <row r="746">
      <c r="A746" s="46"/>
      <c r="B746" s="46"/>
      <c r="C746" s="46"/>
    </row>
    <row r="747">
      <c r="A747" s="46"/>
      <c r="B747" s="46"/>
      <c r="C747" s="46"/>
    </row>
    <row r="748">
      <c r="A748" s="46"/>
      <c r="B748" s="46"/>
      <c r="C748" s="46"/>
    </row>
    <row r="749">
      <c r="A749" s="46"/>
      <c r="B749" s="46"/>
      <c r="C749" s="46"/>
    </row>
    <row r="750">
      <c r="A750" s="46"/>
      <c r="B750" s="46"/>
      <c r="C750" s="46"/>
    </row>
    <row r="751">
      <c r="A751" s="46"/>
      <c r="B751" s="46"/>
      <c r="C751" s="46"/>
    </row>
    <row r="752">
      <c r="A752" s="46"/>
      <c r="B752" s="46"/>
      <c r="C752" s="46"/>
    </row>
    <row r="753">
      <c r="A753" s="46"/>
      <c r="B753" s="46"/>
      <c r="C753" s="46"/>
    </row>
    <row r="754">
      <c r="A754" s="46"/>
      <c r="B754" s="46"/>
      <c r="C754" s="46"/>
    </row>
    <row r="755">
      <c r="A755" s="46"/>
      <c r="B755" s="46"/>
      <c r="C755" s="46"/>
    </row>
    <row r="756">
      <c r="A756" s="46"/>
      <c r="B756" s="46"/>
      <c r="C756" s="46"/>
    </row>
    <row r="757">
      <c r="A757" s="46"/>
      <c r="B757" s="46"/>
      <c r="C757" s="46"/>
    </row>
    <row r="758">
      <c r="A758" s="46"/>
      <c r="B758" s="46"/>
      <c r="C758" s="46"/>
    </row>
    <row r="759">
      <c r="A759" s="46"/>
      <c r="B759" s="46"/>
      <c r="C759" s="46"/>
    </row>
    <row r="760">
      <c r="A760" s="46"/>
      <c r="B760" s="46"/>
      <c r="C760" s="46"/>
    </row>
    <row r="761">
      <c r="A761" s="46"/>
      <c r="B761" s="46"/>
      <c r="C761" s="46"/>
    </row>
    <row r="762">
      <c r="A762" s="46"/>
      <c r="B762" s="46"/>
      <c r="C762" s="46"/>
    </row>
    <row r="763">
      <c r="A763" s="46"/>
      <c r="B763" s="46"/>
      <c r="C763" s="46"/>
    </row>
    <row r="764">
      <c r="A764" s="46"/>
      <c r="B764" s="46"/>
      <c r="C764" s="46"/>
    </row>
    <row r="765">
      <c r="A765" s="46"/>
      <c r="B765" s="46"/>
      <c r="C765" s="46"/>
    </row>
    <row r="766">
      <c r="A766" s="46"/>
      <c r="B766" s="46"/>
      <c r="C766" s="46"/>
    </row>
    <row r="767">
      <c r="A767" s="46"/>
      <c r="B767" s="46"/>
      <c r="C767" s="46"/>
    </row>
    <row r="768">
      <c r="A768" s="46"/>
      <c r="B768" s="46"/>
      <c r="C768" s="46"/>
    </row>
    <row r="769">
      <c r="A769" s="46"/>
      <c r="B769" s="46"/>
      <c r="C769" s="46"/>
    </row>
    <row r="770">
      <c r="A770" s="46"/>
      <c r="B770" s="46"/>
      <c r="C770" s="46"/>
    </row>
    <row r="771">
      <c r="A771" s="46"/>
      <c r="B771" s="46"/>
      <c r="C771" s="46"/>
    </row>
    <row r="772">
      <c r="A772" s="46"/>
      <c r="B772" s="46"/>
      <c r="C772" s="46"/>
    </row>
    <row r="773">
      <c r="A773" s="46"/>
      <c r="B773" s="46"/>
      <c r="C773" s="46"/>
    </row>
    <row r="774">
      <c r="A774" s="46"/>
      <c r="B774" s="46"/>
      <c r="C774" s="46"/>
    </row>
    <row r="775">
      <c r="A775" s="46"/>
      <c r="B775" s="46"/>
      <c r="C775" s="46"/>
    </row>
    <row r="776">
      <c r="A776" s="46"/>
      <c r="B776" s="46"/>
      <c r="C776" s="46"/>
    </row>
    <row r="777">
      <c r="A777" s="46"/>
      <c r="B777" s="46"/>
      <c r="C777" s="46"/>
    </row>
    <row r="778">
      <c r="A778" s="46"/>
      <c r="B778" s="46"/>
      <c r="C778" s="46"/>
    </row>
    <row r="779">
      <c r="A779" s="46"/>
      <c r="B779" s="46"/>
      <c r="C779" s="46"/>
    </row>
    <row r="780">
      <c r="A780" s="46"/>
      <c r="B780" s="46"/>
      <c r="C780" s="46"/>
    </row>
    <row r="781">
      <c r="A781" s="46"/>
      <c r="B781" s="46"/>
      <c r="C781" s="46"/>
    </row>
    <row r="782">
      <c r="A782" s="46"/>
      <c r="B782" s="46"/>
      <c r="C782" s="46"/>
    </row>
    <row r="783">
      <c r="A783" s="46"/>
      <c r="B783" s="46"/>
      <c r="C783" s="46"/>
    </row>
    <row r="784">
      <c r="A784" s="46"/>
      <c r="B784" s="46"/>
      <c r="C784" s="46"/>
    </row>
    <row r="785">
      <c r="A785" s="46"/>
      <c r="B785" s="46"/>
      <c r="C785" s="46"/>
    </row>
    <row r="786">
      <c r="A786" s="46"/>
      <c r="B786" s="46"/>
      <c r="C786" s="46"/>
    </row>
    <row r="787">
      <c r="A787" s="46"/>
      <c r="B787" s="46"/>
      <c r="C787" s="46"/>
    </row>
    <row r="788">
      <c r="A788" s="46"/>
      <c r="B788" s="46"/>
      <c r="C788" s="46"/>
    </row>
    <row r="789">
      <c r="A789" s="46"/>
      <c r="B789" s="46"/>
      <c r="C789" s="46"/>
    </row>
    <row r="790">
      <c r="A790" s="46"/>
      <c r="B790" s="46"/>
      <c r="C790" s="46"/>
    </row>
    <row r="791">
      <c r="A791" s="46"/>
      <c r="B791" s="46"/>
      <c r="C791" s="46"/>
    </row>
    <row r="792">
      <c r="A792" s="46"/>
      <c r="B792" s="46"/>
      <c r="C792" s="46"/>
    </row>
    <row r="793">
      <c r="A793" s="46"/>
      <c r="B793" s="46"/>
      <c r="C793" s="46"/>
    </row>
    <row r="794">
      <c r="A794" s="46"/>
      <c r="B794" s="46"/>
      <c r="C794" s="46"/>
    </row>
    <row r="795">
      <c r="A795" s="46"/>
      <c r="B795" s="46"/>
      <c r="C795" s="46"/>
    </row>
    <row r="796">
      <c r="A796" s="46"/>
      <c r="B796" s="46"/>
      <c r="C796" s="46"/>
    </row>
    <row r="797">
      <c r="A797" s="46"/>
      <c r="B797" s="46"/>
      <c r="C797" s="46"/>
    </row>
    <row r="798">
      <c r="A798" s="46"/>
      <c r="B798" s="46"/>
      <c r="C798" s="46"/>
    </row>
    <row r="799">
      <c r="A799" s="46"/>
      <c r="B799" s="46"/>
      <c r="C799" s="46"/>
    </row>
    <row r="800">
      <c r="A800" s="46"/>
      <c r="B800" s="46"/>
      <c r="C800" s="46"/>
    </row>
    <row r="801">
      <c r="A801" s="46"/>
      <c r="B801" s="46"/>
      <c r="C801" s="46"/>
    </row>
    <row r="802">
      <c r="A802" s="46"/>
      <c r="B802" s="46"/>
      <c r="C802" s="46"/>
    </row>
    <row r="803">
      <c r="A803" s="46"/>
      <c r="B803" s="46"/>
      <c r="C803" s="46"/>
    </row>
    <row r="804">
      <c r="A804" s="46"/>
      <c r="B804" s="46"/>
      <c r="C804" s="46"/>
    </row>
    <row r="805">
      <c r="A805" s="46"/>
      <c r="B805" s="46"/>
      <c r="C805" s="46"/>
    </row>
    <row r="806">
      <c r="A806" s="46"/>
      <c r="B806" s="46"/>
      <c r="C806" s="46"/>
    </row>
    <row r="807">
      <c r="A807" s="46"/>
      <c r="B807" s="46"/>
      <c r="C807" s="46"/>
    </row>
    <row r="808">
      <c r="A808" s="46"/>
      <c r="B808" s="46"/>
      <c r="C808" s="46"/>
    </row>
    <row r="809">
      <c r="A809" s="46"/>
      <c r="B809" s="46"/>
      <c r="C809" s="46"/>
    </row>
    <row r="810">
      <c r="A810" s="46"/>
      <c r="B810" s="46"/>
      <c r="C810" s="46"/>
    </row>
    <row r="811">
      <c r="A811" s="46"/>
      <c r="B811" s="46"/>
      <c r="C811" s="46"/>
    </row>
    <row r="812">
      <c r="A812" s="46"/>
      <c r="B812" s="46"/>
      <c r="C812" s="46"/>
    </row>
    <row r="813">
      <c r="A813" s="46"/>
      <c r="B813" s="46"/>
      <c r="C813" s="46"/>
    </row>
    <row r="814">
      <c r="A814" s="46"/>
      <c r="B814" s="46"/>
      <c r="C814" s="46"/>
    </row>
    <row r="815">
      <c r="A815" s="46"/>
      <c r="B815" s="46"/>
      <c r="C815" s="46"/>
    </row>
    <row r="816">
      <c r="A816" s="46"/>
      <c r="B816" s="46"/>
      <c r="C816" s="46"/>
    </row>
    <row r="817">
      <c r="A817" s="46"/>
      <c r="B817" s="46"/>
      <c r="C817" s="46"/>
    </row>
    <row r="818">
      <c r="A818" s="46"/>
      <c r="B818" s="46"/>
      <c r="C818" s="46"/>
    </row>
    <row r="819">
      <c r="A819" s="46"/>
      <c r="B819" s="46"/>
      <c r="C819" s="46"/>
    </row>
    <row r="820">
      <c r="A820" s="46"/>
      <c r="B820" s="46"/>
      <c r="C820" s="46"/>
    </row>
    <row r="821">
      <c r="A821" s="46"/>
      <c r="B821" s="46"/>
      <c r="C821" s="46"/>
    </row>
    <row r="822">
      <c r="A822" s="46"/>
      <c r="B822" s="46"/>
      <c r="C822" s="46"/>
    </row>
    <row r="823">
      <c r="A823" s="46"/>
      <c r="B823" s="46"/>
      <c r="C823" s="46"/>
    </row>
    <row r="824">
      <c r="A824" s="46"/>
      <c r="B824" s="46"/>
      <c r="C824" s="46"/>
    </row>
    <row r="825">
      <c r="A825" s="46"/>
      <c r="B825" s="46"/>
      <c r="C825" s="46"/>
    </row>
    <row r="826">
      <c r="A826" s="46"/>
      <c r="B826" s="46"/>
      <c r="C826" s="46"/>
    </row>
    <row r="827">
      <c r="A827" s="46"/>
      <c r="B827" s="46"/>
      <c r="C827" s="46"/>
    </row>
    <row r="828">
      <c r="A828" s="46"/>
      <c r="B828" s="46"/>
      <c r="C828" s="46"/>
    </row>
    <row r="829">
      <c r="A829" s="46"/>
      <c r="B829" s="46"/>
      <c r="C829" s="46"/>
    </row>
    <row r="830">
      <c r="A830" s="46"/>
      <c r="B830" s="46"/>
      <c r="C830" s="46"/>
    </row>
    <row r="831">
      <c r="A831" s="46"/>
      <c r="B831" s="46"/>
      <c r="C831" s="46"/>
    </row>
    <row r="832">
      <c r="A832" s="46"/>
      <c r="B832" s="46"/>
      <c r="C832" s="46"/>
    </row>
    <row r="833">
      <c r="A833" s="46"/>
      <c r="B833" s="46"/>
      <c r="C833" s="46"/>
    </row>
    <row r="834">
      <c r="A834" s="46"/>
      <c r="B834" s="46"/>
      <c r="C834" s="46"/>
    </row>
    <row r="835">
      <c r="A835" s="46"/>
      <c r="B835" s="46"/>
      <c r="C835" s="46"/>
    </row>
    <row r="836">
      <c r="A836" s="46"/>
      <c r="B836" s="46"/>
      <c r="C836" s="46"/>
    </row>
    <row r="837">
      <c r="A837" s="46"/>
      <c r="B837" s="46"/>
      <c r="C837" s="46"/>
    </row>
    <row r="838">
      <c r="A838" s="46"/>
      <c r="B838" s="46"/>
      <c r="C838" s="46"/>
    </row>
    <row r="839">
      <c r="A839" s="46"/>
      <c r="B839" s="46"/>
      <c r="C839" s="46"/>
    </row>
    <row r="840">
      <c r="A840" s="46"/>
      <c r="B840" s="46"/>
      <c r="C840" s="46"/>
    </row>
    <row r="841">
      <c r="A841" s="46"/>
      <c r="B841" s="46"/>
      <c r="C841" s="46"/>
    </row>
    <row r="842">
      <c r="A842" s="46"/>
      <c r="B842" s="46"/>
      <c r="C842" s="46"/>
    </row>
    <row r="843">
      <c r="A843" s="46"/>
      <c r="B843" s="46"/>
      <c r="C843" s="46"/>
    </row>
    <row r="844">
      <c r="A844" s="46"/>
      <c r="B844" s="46"/>
      <c r="C844" s="46"/>
    </row>
    <row r="845">
      <c r="A845" s="46"/>
      <c r="B845" s="46"/>
      <c r="C845" s="46"/>
    </row>
    <row r="846">
      <c r="A846" s="46"/>
      <c r="B846" s="46"/>
      <c r="C846" s="46"/>
    </row>
    <row r="847">
      <c r="A847" s="46"/>
      <c r="B847" s="46"/>
      <c r="C847" s="46"/>
    </row>
    <row r="848">
      <c r="A848" s="46"/>
      <c r="B848" s="46"/>
      <c r="C848" s="46"/>
    </row>
    <row r="849">
      <c r="A849" s="46"/>
      <c r="B849" s="46"/>
      <c r="C849" s="46"/>
    </row>
    <row r="850">
      <c r="A850" s="46"/>
      <c r="B850" s="46"/>
      <c r="C850" s="46"/>
    </row>
    <row r="851">
      <c r="A851" s="46"/>
      <c r="B851" s="46"/>
      <c r="C851" s="46"/>
    </row>
    <row r="852">
      <c r="A852" s="46"/>
      <c r="B852" s="46"/>
      <c r="C852" s="46"/>
    </row>
    <row r="853">
      <c r="A853" s="46"/>
      <c r="B853" s="46"/>
      <c r="C853" s="46"/>
    </row>
    <row r="854">
      <c r="A854" s="46"/>
      <c r="B854" s="46"/>
      <c r="C854" s="46"/>
    </row>
    <row r="855">
      <c r="A855" s="46"/>
      <c r="B855" s="46"/>
      <c r="C855" s="46"/>
    </row>
    <row r="856">
      <c r="A856" s="46"/>
      <c r="B856" s="46"/>
      <c r="C856" s="46"/>
    </row>
    <row r="857">
      <c r="A857" s="46"/>
      <c r="B857" s="46"/>
      <c r="C857" s="46"/>
    </row>
    <row r="858">
      <c r="A858" s="46"/>
      <c r="B858" s="46"/>
      <c r="C858" s="46"/>
    </row>
    <row r="859">
      <c r="A859" s="46"/>
      <c r="B859" s="46"/>
      <c r="C859" s="46"/>
    </row>
    <row r="860">
      <c r="A860" s="46"/>
      <c r="B860" s="46"/>
      <c r="C860" s="46"/>
    </row>
    <row r="861">
      <c r="A861" s="46"/>
      <c r="B861" s="46"/>
      <c r="C861" s="46"/>
    </row>
    <row r="862">
      <c r="A862" s="46"/>
      <c r="B862" s="46"/>
      <c r="C862" s="46"/>
    </row>
    <row r="863">
      <c r="A863" s="46"/>
      <c r="B863" s="46"/>
      <c r="C863" s="46"/>
    </row>
    <row r="864">
      <c r="A864" s="46"/>
      <c r="B864" s="46"/>
      <c r="C864" s="46"/>
    </row>
    <row r="865">
      <c r="A865" s="46"/>
      <c r="B865" s="46"/>
      <c r="C865" s="46"/>
    </row>
    <row r="866">
      <c r="A866" s="46"/>
      <c r="B866" s="46"/>
      <c r="C866" s="46"/>
    </row>
    <row r="867">
      <c r="A867" s="46"/>
      <c r="B867" s="46"/>
      <c r="C867" s="46"/>
    </row>
    <row r="868">
      <c r="A868" s="46"/>
      <c r="B868" s="46"/>
      <c r="C868" s="46"/>
    </row>
    <row r="869">
      <c r="A869" s="46"/>
      <c r="B869" s="46"/>
      <c r="C869" s="46"/>
    </row>
    <row r="870">
      <c r="A870" s="46"/>
      <c r="B870" s="46"/>
      <c r="C870" s="46"/>
    </row>
    <row r="871">
      <c r="A871" s="46"/>
      <c r="B871" s="46"/>
      <c r="C871" s="46"/>
    </row>
    <row r="872">
      <c r="A872" s="46"/>
      <c r="B872" s="46"/>
      <c r="C872" s="46"/>
    </row>
    <row r="873">
      <c r="A873" s="46"/>
      <c r="B873" s="46"/>
      <c r="C873" s="46"/>
    </row>
    <row r="874">
      <c r="A874" s="46"/>
      <c r="B874" s="46"/>
      <c r="C874" s="46"/>
    </row>
    <row r="875">
      <c r="A875" s="46"/>
      <c r="B875" s="46"/>
      <c r="C875" s="46"/>
    </row>
    <row r="876">
      <c r="A876" s="46"/>
      <c r="B876" s="46"/>
      <c r="C876" s="46"/>
    </row>
    <row r="877">
      <c r="A877" s="46"/>
      <c r="B877" s="46"/>
      <c r="C877" s="46"/>
    </row>
    <row r="878">
      <c r="A878" s="46"/>
      <c r="B878" s="46"/>
      <c r="C878" s="46"/>
    </row>
    <row r="879">
      <c r="A879" s="46"/>
      <c r="B879" s="46"/>
      <c r="C879" s="46"/>
    </row>
    <row r="880">
      <c r="A880" s="46"/>
      <c r="B880" s="46"/>
      <c r="C880" s="46"/>
    </row>
    <row r="881">
      <c r="A881" s="46"/>
      <c r="B881" s="46"/>
      <c r="C881" s="46"/>
    </row>
    <row r="882">
      <c r="A882" s="46"/>
      <c r="B882" s="46"/>
      <c r="C882" s="46"/>
    </row>
    <row r="883">
      <c r="A883" s="46"/>
      <c r="B883" s="46"/>
      <c r="C883" s="46"/>
    </row>
    <row r="884">
      <c r="A884" s="46"/>
      <c r="B884" s="46"/>
      <c r="C884" s="46"/>
    </row>
    <row r="885">
      <c r="A885" s="46"/>
      <c r="B885" s="46"/>
      <c r="C885" s="46"/>
    </row>
    <row r="886">
      <c r="A886" s="46"/>
      <c r="B886" s="46"/>
      <c r="C886" s="46"/>
    </row>
    <row r="887">
      <c r="A887" s="46"/>
      <c r="B887" s="46"/>
      <c r="C887" s="46"/>
    </row>
    <row r="888">
      <c r="A888" s="46"/>
      <c r="B888" s="46"/>
      <c r="C888" s="46"/>
    </row>
    <row r="889">
      <c r="A889" s="46"/>
      <c r="B889" s="46"/>
      <c r="C889" s="46"/>
    </row>
    <row r="890">
      <c r="A890" s="46"/>
      <c r="B890" s="46"/>
      <c r="C890" s="46"/>
    </row>
    <row r="891">
      <c r="A891" s="46"/>
      <c r="B891" s="46"/>
      <c r="C891" s="46"/>
    </row>
    <row r="892">
      <c r="A892" s="46"/>
      <c r="B892" s="46"/>
      <c r="C892" s="46"/>
    </row>
    <row r="893">
      <c r="A893" s="46"/>
      <c r="B893" s="46"/>
      <c r="C893" s="46"/>
    </row>
    <row r="894">
      <c r="A894" s="46"/>
      <c r="B894" s="46"/>
      <c r="C894" s="46"/>
    </row>
    <row r="895">
      <c r="A895" s="46"/>
      <c r="B895" s="46"/>
      <c r="C895" s="46"/>
    </row>
    <row r="896">
      <c r="A896" s="46"/>
      <c r="B896" s="46"/>
      <c r="C896" s="46"/>
    </row>
    <row r="897">
      <c r="A897" s="46"/>
      <c r="B897" s="46"/>
      <c r="C897" s="46"/>
    </row>
    <row r="898">
      <c r="A898" s="46"/>
      <c r="B898" s="46"/>
      <c r="C898" s="46"/>
    </row>
    <row r="899">
      <c r="A899" s="46"/>
      <c r="B899" s="46"/>
      <c r="C899" s="46"/>
    </row>
    <row r="900">
      <c r="A900" s="46"/>
      <c r="B900" s="46"/>
      <c r="C900" s="46"/>
    </row>
    <row r="901">
      <c r="A901" s="46"/>
      <c r="B901" s="46"/>
      <c r="C901" s="46"/>
    </row>
    <row r="902">
      <c r="A902" s="46"/>
      <c r="B902" s="46"/>
      <c r="C902" s="46"/>
    </row>
    <row r="903">
      <c r="A903" s="46"/>
      <c r="B903" s="46"/>
      <c r="C903" s="46"/>
    </row>
    <row r="904">
      <c r="A904" s="46"/>
      <c r="B904" s="46"/>
      <c r="C904" s="46"/>
    </row>
    <row r="905">
      <c r="A905" s="46"/>
      <c r="B905" s="46"/>
      <c r="C905" s="46"/>
    </row>
    <row r="906">
      <c r="A906" s="46"/>
      <c r="B906" s="46"/>
      <c r="C906" s="46"/>
    </row>
    <row r="907">
      <c r="A907" s="46"/>
      <c r="B907" s="46"/>
      <c r="C907" s="46"/>
    </row>
    <row r="908">
      <c r="A908" s="46"/>
      <c r="B908" s="46"/>
      <c r="C908" s="46"/>
    </row>
    <row r="909">
      <c r="A909" s="46"/>
      <c r="B909" s="46"/>
      <c r="C909" s="46"/>
    </row>
    <row r="910">
      <c r="A910" s="46"/>
      <c r="B910" s="46"/>
      <c r="C910" s="46"/>
    </row>
    <row r="911">
      <c r="A911" s="46"/>
      <c r="B911" s="46"/>
      <c r="C911" s="46"/>
    </row>
    <row r="912">
      <c r="A912" s="46"/>
      <c r="B912" s="46"/>
      <c r="C912" s="46"/>
    </row>
    <row r="913">
      <c r="A913" s="46"/>
      <c r="B913" s="46"/>
      <c r="C913" s="46"/>
    </row>
    <row r="914">
      <c r="A914" s="46"/>
      <c r="B914" s="46"/>
      <c r="C914" s="46"/>
    </row>
    <row r="915">
      <c r="A915" s="46"/>
      <c r="B915" s="46"/>
      <c r="C915" s="46"/>
    </row>
    <row r="916">
      <c r="A916" s="46"/>
      <c r="B916" s="46"/>
      <c r="C916" s="46"/>
    </row>
    <row r="917">
      <c r="A917" s="46"/>
      <c r="B917" s="46"/>
      <c r="C917" s="46"/>
    </row>
    <row r="918">
      <c r="A918" s="46"/>
      <c r="B918" s="46"/>
      <c r="C918" s="46"/>
    </row>
    <row r="919">
      <c r="A919" s="46"/>
      <c r="B919" s="46"/>
      <c r="C919" s="46"/>
    </row>
    <row r="920">
      <c r="A920" s="46"/>
      <c r="B920" s="46"/>
      <c r="C920" s="46"/>
    </row>
    <row r="921">
      <c r="A921" s="46"/>
      <c r="B921" s="46"/>
      <c r="C921" s="46"/>
    </row>
    <row r="922">
      <c r="A922" s="46"/>
      <c r="B922" s="46"/>
      <c r="C922" s="46"/>
    </row>
    <row r="923">
      <c r="A923" s="46"/>
      <c r="B923" s="46"/>
      <c r="C923" s="46"/>
    </row>
    <row r="924">
      <c r="A924" s="46"/>
      <c r="B924" s="46"/>
      <c r="C924" s="46"/>
    </row>
    <row r="925">
      <c r="A925" s="46"/>
      <c r="B925" s="46"/>
      <c r="C925" s="46"/>
    </row>
    <row r="926">
      <c r="A926" s="46"/>
      <c r="B926" s="46"/>
      <c r="C926" s="46"/>
    </row>
    <row r="927">
      <c r="A927" s="46"/>
      <c r="B927" s="46"/>
      <c r="C927" s="46"/>
    </row>
    <row r="928">
      <c r="A928" s="46"/>
      <c r="B928" s="46"/>
      <c r="C928" s="46"/>
    </row>
    <row r="929">
      <c r="A929" s="46"/>
      <c r="B929" s="46"/>
      <c r="C929" s="46"/>
    </row>
    <row r="930">
      <c r="A930" s="46"/>
      <c r="B930" s="46"/>
      <c r="C930" s="46"/>
    </row>
    <row r="931">
      <c r="A931" s="46"/>
      <c r="B931" s="46"/>
      <c r="C931" s="46"/>
    </row>
    <row r="932">
      <c r="A932" s="46"/>
      <c r="B932" s="46"/>
      <c r="C932" s="46"/>
    </row>
    <row r="933">
      <c r="A933" s="46"/>
      <c r="B933" s="46"/>
      <c r="C933" s="46"/>
    </row>
    <row r="934">
      <c r="A934" s="46"/>
      <c r="B934" s="46"/>
      <c r="C934" s="46"/>
    </row>
    <row r="935">
      <c r="A935" s="46"/>
      <c r="B935" s="46"/>
      <c r="C935" s="46"/>
    </row>
    <row r="936">
      <c r="A936" s="46"/>
      <c r="B936" s="46"/>
      <c r="C936" s="46"/>
    </row>
    <row r="937">
      <c r="A937" s="46"/>
      <c r="B937" s="46"/>
      <c r="C937" s="46"/>
    </row>
    <row r="938">
      <c r="A938" s="46"/>
      <c r="B938" s="46"/>
      <c r="C938" s="46"/>
    </row>
    <row r="939">
      <c r="A939" s="46"/>
      <c r="B939" s="46"/>
      <c r="C939" s="46"/>
    </row>
    <row r="940">
      <c r="A940" s="46"/>
      <c r="B940" s="46"/>
      <c r="C940" s="46"/>
    </row>
    <row r="941">
      <c r="A941" s="46"/>
      <c r="B941" s="46"/>
      <c r="C941" s="46"/>
    </row>
    <row r="942">
      <c r="A942" s="46"/>
      <c r="B942" s="46"/>
      <c r="C942" s="46"/>
    </row>
    <row r="943">
      <c r="A943" s="46"/>
      <c r="B943" s="46"/>
      <c r="C943" s="46"/>
    </row>
    <row r="944">
      <c r="A944" s="46"/>
      <c r="B944" s="46"/>
      <c r="C944" s="46"/>
    </row>
    <row r="945">
      <c r="A945" s="46"/>
      <c r="B945" s="46"/>
      <c r="C945" s="46"/>
    </row>
    <row r="946">
      <c r="A946" s="46"/>
      <c r="B946" s="46"/>
      <c r="C946" s="46"/>
    </row>
    <row r="947">
      <c r="A947" s="46"/>
      <c r="B947" s="46"/>
      <c r="C947" s="46"/>
    </row>
    <row r="948">
      <c r="A948" s="46"/>
      <c r="B948" s="46"/>
      <c r="C948" s="46"/>
    </row>
    <row r="949">
      <c r="A949" s="46"/>
      <c r="B949" s="46"/>
      <c r="C949" s="46"/>
    </row>
    <row r="950">
      <c r="A950" s="46"/>
      <c r="B950" s="46"/>
      <c r="C950" s="46"/>
    </row>
    <row r="951">
      <c r="A951" s="46"/>
      <c r="B951" s="46"/>
      <c r="C951" s="46"/>
    </row>
    <row r="952">
      <c r="A952" s="46"/>
      <c r="B952" s="46"/>
      <c r="C952" s="46"/>
    </row>
    <row r="953">
      <c r="A953" s="46"/>
      <c r="B953" s="46"/>
      <c r="C953" s="46"/>
    </row>
    <row r="954">
      <c r="A954" s="46"/>
      <c r="B954" s="46"/>
      <c r="C954" s="46"/>
    </row>
    <row r="955">
      <c r="A955" s="46"/>
      <c r="B955" s="46"/>
      <c r="C955" s="46"/>
    </row>
    <row r="956">
      <c r="A956" s="46"/>
      <c r="B956" s="46"/>
      <c r="C956" s="46"/>
    </row>
    <row r="957">
      <c r="A957" s="46"/>
      <c r="B957" s="46"/>
      <c r="C957" s="46"/>
    </row>
    <row r="958">
      <c r="A958" s="46"/>
      <c r="B958" s="46"/>
      <c r="C958" s="46"/>
    </row>
    <row r="959">
      <c r="A959" s="46"/>
      <c r="B959" s="46"/>
      <c r="C959" s="46"/>
    </row>
    <row r="960">
      <c r="A960" s="46"/>
      <c r="B960" s="46"/>
      <c r="C960" s="46"/>
    </row>
    <row r="961">
      <c r="A961" s="46"/>
      <c r="B961" s="46"/>
      <c r="C961" s="46"/>
    </row>
    <row r="962">
      <c r="A962" s="46"/>
      <c r="B962" s="46"/>
      <c r="C962" s="46"/>
    </row>
    <row r="963">
      <c r="A963" s="46"/>
      <c r="B963" s="46"/>
      <c r="C963" s="46"/>
    </row>
    <row r="964">
      <c r="A964" s="46"/>
      <c r="B964" s="46"/>
      <c r="C964" s="46"/>
    </row>
    <row r="965">
      <c r="A965" s="46"/>
      <c r="B965" s="46"/>
      <c r="C965" s="46"/>
    </row>
    <row r="966">
      <c r="A966" s="46"/>
      <c r="B966" s="46"/>
      <c r="C966" s="46"/>
    </row>
    <row r="967">
      <c r="A967" s="46"/>
      <c r="B967" s="46"/>
      <c r="C967" s="46"/>
    </row>
    <row r="968">
      <c r="A968" s="46"/>
      <c r="B968" s="46"/>
      <c r="C968" s="46"/>
    </row>
    <row r="969">
      <c r="A969" s="46"/>
      <c r="B969" s="46"/>
      <c r="C969" s="46"/>
    </row>
    <row r="970">
      <c r="A970" s="46"/>
      <c r="B970" s="46"/>
      <c r="C970" s="46"/>
    </row>
    <row r="971">
      <c r="A971" s="46"/>
      <c r="B971" s="46"/>
      <c r="C971" s="46"/>
    </row>
    <row r="972">
      <c r="A972" s="46"/>
      <c r="B972" s="46"/>
      <c r="C972" s="46"/>
    </row>
    <row r="973">
      <c r="A973" s="46"/>
      <c r="B973" s="46"/>
      <c r="C973" s="46"/>
    </row>
    <row r="974">
      <c r="A974" s="46"/>
      <c r="B974" s="46"/>
      <c r="C974" s="46"/>
    </row>
    <row r="975">
      <c r="A975" s="46"/>
      <c r="B975" s="46"/>
      <c r="C975" s="46"/>
    </row>
    <row r="976">
      <c r="A976" s="46"/>
      <c r="B976" s="46"/>
      <c r="C976" s="46"/>
    </row>
    <row r="977">
      <c r="A977" s="46"/>
      <c r="B977" s="46"/>
      <c r="C977" s="46"/>
    </row>
    <row r="978">
      <c r="A978" s="46"/>
      <c r="B978" s="46"/>
      <c r="C978" s="46"/>
    </row>
    <row r="979">
      <c r="A979" s="46"/>
      <c r="B979" s="46"/>
      <c r="C979" s="46"/>
    </row>
    <row r="980">
      <c r="A980" s="46"/>
      <c r="B980" s="46"/>
      <c r="C980" s="46"/>
    </row>
    <row r="981">
      <c r="A981" s="46"/>
      <c r="B981" s="46"/>
      <c r="C981" s="46"/>
    </row>
    <row r="982">
      <c r="A982" s="46"/>
      <c r="B982" s="46"/>
      <c r="C982" s="46"/>
    </row>
    <row r="983">
      <c r="A983" s="46"/>
      <c r="B983" s="46"/>
      <c r="C983" s="46"/>
    </row>
    <row r="984">
      <c r="A984" s="46"/>
      <c r="B984" s="46"/>
      <c r="C984" s="46"/>
    </row>
    <row r="985">
      <c r="A985" s="46"/>
      <c r="B985" s="46"/>
      <c r="C985" s="46"/>
    </row>
    <row r="986">
      <c r="A986" s="46"/>
      <c r="B986" s="46"/>
      <c r="C986" s="46"/>
    </row>
    <row r="987">
      <c r="A987" s="46"/>
      <c r="B987" s="46"/>
      <c r="C987" s="46"/>
    </row>
    <row r="988">
      <c r="A988" s="46"/>
      <c r="B988" s="46"/>
      <c r="C988" s="46"/>
    </row>
    <row r="989">
      <c r="A989" s="46"/>
      <c r="B989" s="46"/>
      <c r="C989" s="46"/>
    </row>
    <row r="990">
      <c r="A990" s="46"/>
      <c r="B990" s="46"/>
      <c r="C990" s="46"/>
    </row>
    <row r="991">
      <c r="A991" s="46"/>
      <c r="B991" s="46"/>
      <c r="C991" s="46"/>
    </row>
    <row r="992">
      <c r="A992" s="46"/>
      <c r="B992" s="46"/>
      <c r="C992" s="46"/>
    </row>
    <row r="993">
      <c r="A993" s="46"/>
      <c r="B993" s="46"/>
      <c r="C993" s="46"/>
    </row>
    <row r="994">
      <c r="A994" s="46"/>
      <c r="B994" s="46"/>
      <c r="C994" s="46"/>
    </row>
    <row r="995">
      <c r="A995" s="46"/>
      <c r="B995" s="46"/>
      <c r="C995" s="46"/>
    </row>
    <row r="996">
      <c r="A996" s="46"/>
      <c r="B996" s="46"/>
      <c r="C996" s="46"/>
    </row>
    <row r="997">
      <c r="A997" s="46"/>
      <c r="B997" s="46"/>
      <c r="C997" s="46"/>
    </row>
    <row r="998">
      <c r="A998" s="46"/>
      <c r="B998" s="46"/>
      <c r="C998" s="46"/>
    </row>
    <row r="999">
      <c r="A999" s="46"/>
      <c r="B999" s="46"/>
      <c r="C999" s="46"/>
    </row>
    <row r="1000">
      <c r="A1000" s="46"/>
      <c r="B1000" s="46"/>
      <c r="C1000" s="4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9" t="s">
        <v>61</v>
      </c>
      <c r="B1" s="14"/>
      <c r="C1" s="14"/>
      <c r="D1" s="14"/>
      <c r="E1" s="14"/>
      <c r="F1" s="14"/>
      <c r="G1" s="14"/>
    </row>
    <row r="2">
      <c r="A2" s="70" t="s">
        <v>1</v>
      </c>
      <c r="B2" s="71" t="s">
        <v>2</v>
      </c>
      <c r="C2" s="71" t="s">
        <v>3</v>
      </c>
      <c r="D2" s="71" t="s">
        <v>4</v>
      </c>
      <c r="E2" s="71" t="s">
        <v>5</v>
      </c>
      <c r="F2" s="71" t="s">
        <v>6</v>
      </c>
      <c r="G2" s="71" t="s">
        <v>7</v>
      </c>
    </row>
    <row r="3">
      <c r="A3" s="72">
        <v>46055.0</v>
      </c>
      <c r="B3" s="45">
        <v>6916.64</v>
      </c>
      <c r="C3" s="45">
        <v>6993.08</v>
      </c>
      <c r="D3" s="45">
        <v>6780.13</v>
      </c>
      <c r="E3" s="45">
        <v>6932.3</v>
      </c>
      <c r="F3" s="45">
        <v>6932.3</v>
      </c>
      <c r="G3" s="73">
        <v>3.353826E10</v>
      </c>
    </row>
    <row r="4">
      <c r="A4" s="72">
        <v>46048.0</v>
      </c>
      <c r="B4" s="45">
        <v>6923.23</v>
      </c>
      <c r="C4" s="45">
        <v>7002.28</v>
      </c>
      <c r="D4" s="45">
        <v>6870.8</v>
      </c>
      <c r="E4" s="45">
        <v>6939.03</v>
      </c>
      <c r="F4" s="45">
        <v>6939.03</v>
      </c>
      <c r="G4" s="73">
        <v>2.938256E10</v>
      </c>
    </row>
    <row r="5">
      <c r="A5" s="72">
        <v>46041.0</v>
      </c>
      <c r="B5" s="45">
        <v>6865.24</v>
      </c>
      <c r="C5" s="45">
        <v>6934.75</v>
      </c>
      <c r="D5" s="45">
        <v>6789.05</v>
      </c>
      <c r="E5" s="45">
        <v>6915.61</v>
      </c>
      <c r="F5" s="45">
        <v>6915.61</v>
      </c>
      <c r="G5" s="73">
        <v>2.178453E10</v>
      </c>
    </row>
    <row r="6">
      <c r="A6" s="72">
        <v>46034.0</v>
      </c>
      <c r="B6" s="45">
        <v>6944.12</v>
      </c>
      <c r="C6" s="45">
        <v>6986.33</v>
      </c>
      <c r="D6" s="45">
        <v>6885.74</v>
      </c>
      <c r="E6" s="45">
        <v>6940.01</v>
      </c>
      <c r="F6" s="45">
        <v>6940.01</v>
      </c>
      <c r="G6" s="73">
        <v>2.61122E10</v>
      </c>
    </row>
    <row r="7">
      <c r="A7" s="72">
        <v>46027.0</v>
      </c>
      <c r="B7" s="45">
        <v>6892.19</v>
      </c>
      <c r="C7" s="45">
        <v>6978.36</v>
      </c>
      <c r="D7" s="45">
        <v>6891.56</v>
      </c>
      <c r="E7" s="45">
        <v>6966.28</v>
      </c>
      <c r="F7" s="45">
        <v>6966.28</v>
      </c>
      <c r="G7" s="73">
        <v>2.699319E10</v>
      </c>
    </row>
    <row r="8">
      <c r="A8" s="72">
        <v>46020.0</v>
      </c>
      <c r="B8" s="45">
        <v>6903.6</v>
      </c>
      <c r="C8" s="45">
        <v>6920.21</v>
      </c>
      <c r="D8" s="45">
        <v>6824.31</v>
      </c>
      <c r="E8" s="45">
        <v>6858.47</v>
      </c>
      <c r="F8" s="45">
        <v>6858.47</v>
      </c>
      <c r="G8" s="73">
        <v>1.429763E10</v>
      </c>
    </row>
    <row r="9">
      <c r="A9" s="72">
        <v>46013.0</v>
      </c>
      <c r="B9" s="45">
        <v>6865.21</v>
      </c>
      <c r="C9" s="45">
        <v>6945.77</v>
      </c>
      <c r="D9" s="45">
        <v>6855.74</v>
      </c>
      <c r="E9" s="45">
        <v>6929.94</v>
      </c>
      <c r="F9" s="45">
        <v>6929.94</v>
      </c>
      <c r="G9" s="73">
        <v>1.267041E10</v>
      </c>
    </row>
    <row r="10">
      <c r="A10" s="72">
        <v>46006.0</v>
      </c>
      <c r="B10" s="45">
        <v>6860.19</v>
      </c>
      <c r="C10" s="45">
        <v>6861.59</v>
      </c>
      <c r="D10" s="45">
        <v>6720.43</v>
      </c>
      <c r="E10" s="45">
        <v>6834.5</v>
      </c>
      <c r="F10" s="45">
        <v>6834.5</v>
      </c>
      <c r="G10" s="73">
        <v>2.873656E10</v>
      </c>
    </row>
    <row r="11">
      <c r="A11" s="72">
        <v>45999.0</v>
      </c>
      <c r="B11" s="45">
        <v>6875.2</v>
      </c>
      <c r="C11" s="45">
        <v>6903.46</v>
      </c>
      <c r="D11" s="45">
        <v>6801.79</v>
      </c>
      <c r="E11" s="45">
        <v>6827.41</v>
      </c>
      <c r="F11" s="45">
        <v>6827.41</v>
      </c>
      <c r="G11" s="73">
        <v>2.472297E10</v>
      </c>
    </row>
    <row r="12">
      <c r="A12" s="72">
        <v>45992.0</v>
      </c>
      <c r="B12" s="45">
        <v>6812.3</v>
      </c>
      <c r="C12" s="45">
        <v>6895.78</v>
      </c>
      <c r="D12" s="45">
        <v>6799.94</v>
      </c>
      <c r="E12" s="45">
        <v>6870.4</v>
      </c>
      <c r="F12" s="45">
        <v>6870.4</v>
      </c>
      <c r="G12" s="73">
        <v>2.368544E10</v>
      </c>
    </row>
    <row r="13">
      <c r="A13" s="72">
        <v>45985.0</v>
      </c>
      <c r="B13" s="45">
        <v>6636.54</v>
      </c>
      <c r="C13" s="45">
        <v>6850.86</v>
      </c>
      <c r="D13" s="45">
        <v>6630.7</v>
      </c>
      <c r="E13" s="45">
        <v>6849.09</v>
      </c>
      <c r="F13" s="45">
        <v>6849.09</v>
      </c>
      <c r="G13" s="73">
        <v>1.808661E10</v>
      </c>
    </row>
    <row r="14">
      <c r="A14" s="72">
        <v>45978.0</v>
      </c>
      <c r="B14" s="45">
        <v>6713.61</v>
      </c>
      <c r="C14" s="45">
        <v>6770.35</v>
      </c>
      <c r="D14" s="45">
        <v>6521.92</v>
      </c>
      <c r="E14" s="45">
        <v>6602.99</v>
      </c>
      <c r="F14" s="45">
        <v>6602.99</v>
      </c>
      <c r="G14" s="73">
        <v>2.691123E10</v>
      </c>
    </row>
    <row r="15">
      <c r="A15" s="72">
        <v>45971.0</v>
      </c>
      <c r="B15" s="45">
        <v>6785.36</v>
      </c>
      <c r="C15" s="45">
        <v>6869.91</v>
      </c>
      <c r="D15" s="45">
        <v>6646.87</v>
      </c>
      <c r="E15" s="45">
        <v>6734.11</v>
      </c>
      <c r="F15" s="45">
        <v>6734.11</v>
      </c>
      <c r="G15" s="73">
        <v>2.615953E10</v>
      </c>
    </row>
    <row r="16">
      <c r="A16" s="72">
        <v>45964.0</v>
      </c>
      <c r="B16" s="45">
        <v>6882.32</v>
      </c>
      <c r="C16" s="45">
        <v>6882.32</v>
      </c>
      <c r="D16" s="45">
        <v>6631.44</v>
      </c>
      <c r="E16" s="45">
        <v>6728.8</v>
      </c>
      <c r="F16" s="45">
        <v>6728.8</v>
      </c>
      <c r="G16" s="73">
        <v>2.97228E10</v>
      </c>
    </row>
    <row r="17">
      <c r="A17" s="72">
        <v>45957.0</v>
      </c>
      <c r="B17" s="45">
        <v>6845.46</v>
      </c>
      <c r="C17" s="45">
        <v>6920.34</v>
      </c>
      <c r="D17" s="45">
        <v>6814.26</v>
      </c>
      <c r="E17" s="45">
        <v>6840.2</v>
      </c>
      <c r="F17" s="45">
        <v>6840.2</v>
      </c>
      <c r="G17" s="73">
        <v>2.971769E10</v>
      </c>
    </row>
    <row r="18">
      <c r="A18" s="72">
        <v>45950.0</v>
      </c>
      <c r="B18" s="45">
        <v>6690.05</v>
      </c>
      <c r="C18" s="45">
        <v>6807.11</v>
      </c>
      <c r="D18" s="45">
        <v>6655.69</v>
      </c>
      <c r="E18" s="45">
        <v>6791.69</v>
      </c>
      <c r="F18" s="45">
        <v>6791.69</v>
      </c>
      <c r="G18" s="73">
        <v>2.625117E10</v>
      </c>
    </row>
    <row r="19">
      <c r="A19" s="72">
        <v>45943.0</v>
      </c>
      <c r="B19" s="45">
        <v>6622.53</v>
      </c>
      <c r="C19" s="45">
        <v>6724.12</v>
      </c>
      <c r="D19" s="45">
        <v>6555.07</v>
      </c>
      <c r="E19" s="45">
        <v>6664.01</v>
      </c>
      <c r="F19" s="45">
        <v>6664.01</v>
      </c>
      <c r="G19" s="73">
        <v>2.801024E10</v>
      </c>
    </row>
    <row r="20">
      <c r="A20" s="72">
        <v>45936.0</v>
      </c>
      <c r="B20" s="45">
        <v>6733.86</v>
      </c>
      <c r="C20" s="45">
        <v>6764.58</v>
      </c>
      <c r="D20" s="45">
        <v>6550.78</v>
      </c>
      <c r="E20" s="45">
        <v>6552.51</v>
      </c>
      <c r="F20" s="45">
        <v>6552.51</v>
      </c>
      <c r="G20" s="73">
        <v>2.851537E10</v>
      </c>
    </row>
    <row r="21">
      <c r="A21" s="72">
        <v>45929.0</v>
      </c>
      <c r="B21" s="45">
        <v>6661.58</v>
      </c>
      <c r="C21" s="45">
        <v>6750.87</v>
      </c>
      <c r="D21" s="45">
        <v>6641.0</v>
      </c>
      <c r="E21" s="45">
        <v>6715.79</v>
      </c>
      <c r="F21" s="45">
        <v>6715.79</v>
      </c>
      <c r="G21" s="73">
        <v>2.858316E10</v>
      </c>
    </row>
    <row r="22">
      <c r="A22" s="72">
        <v>45922.0</v>
      </c>
      <c r="B22" s="45">
        <v>6654.28</v>
      </c>
      <c r="C22" s="45">
        <v>6699.52</v>
      </c>
      <c r="D22" s="45">
        <v>6569.22</v>
      </c>
      <c r="E22" s="45">
        <v>6643.7</v>
      </c>
      <c r="F22" s="45">
        <v>6643.7</v>
      </c>
      <c r="G22" s="73">
        <v>2.77132E10</v>
      </c>
    </row>
    <row r="23">
      <c r="A23" s="72">
        <v>45915.0</v>
      </c>
      <c r="B23" s="45">
        <v>6603.49</v>
      </c>
      <c r="C23" s="45">
        <v>6671.82</v>
      </c>
      <c r="D23" s="45">
        <v>6551.15</v>
      </c>
      <c r="E23" s="45">
        <v>6664.36</v>
      </c>
      <c r="F23" s="45">
        <v>6664.36</v>
      </c>
      <c r="G23" s="73">
        <v>3.062823E10</v>
      </c>
    </row>
    <row r="24">
      <c r="A24" s="72">
        <v>45908.0</v>
      </c>
      <c r="B24" s="45">
        <v>6498.09</v>
      </c>
      <c r="C24" s="45">
        <v>6600.21</v>
      </c>
      <c r="D24" s="45">
        <v>6483.08</v>
      </c>
      <c r="E24" s="45">
        <v>6584.29</v>
      </c>
      <c r="F24" s="45">
        <v>6584.29</v>
      </c>
      <c r="G24" s="73">
        <v>2.533096E10</v>
      </c>
    </row>
    <row r="25">
      <c r="A25" s="72">
        <v>45901.0</v>
      </c>
      <c r="B25" s="45">
        <v>6401.51</v>
      </c>
      <c r="C25" s="45">
        <v>6532.65</v>
      </c>
      <c r="D25" s="45">
        <v>6360.58</v>
      </c>
      <c r="E25" s="45">
        <v>6481.5</v>
      </c>
      <c r="F25" s="45">
        <v>6481.5</v>
      </c>
      <c r="G25" s="73">
        <v>1.898625E10</v>
      </c>
    </row>
    <row r="26">
      <c r="A26" s="72">
        <v>45894.0</v>
      </c>
      <c r="B26" s="45">
        <v>6457.67</v>
      </c>
      <c r="C26" s="45">
        <v>6508.23</v>
      </c>
      <c r="D26" s="45">
        <v>6429.21</v>
      </c>
      <c r="E26" s="45">
        <v>6460.26</v>
      </c>
      <c r="F26" s="45">
        <v>6460.26</v>
      </c>
      <c r="G26" s="73">
        <v>2.158903E10</v>
      </c>
    </row>
    <row r="27">
      <c r="A27" s="72">
        <v>45887.0</v>
      </c>
      <c r="B27" s="45">
        <v>6445.02</v>
      </c>
      <c r="C27" s="45">
        <v>6478.89</v>
      </c>
      <c r="D27" s="45">
        <v>6343.86</v>
      </c>
      <c r="E27" s="45">
        <v>6466.91</v>
      </c>
      <c r="F27" s="45">
        <v>6466.91</v>
      </c>
      <c r="G27" s="73">
        <v>2.207054E10</v>
      </c>
    </row>
    <row r="28">
      <c r="A28" s="72">
        <v>45880.0</v>
      </c>
      <c r="B28" s="45">
        <v>6389.67</v>
      </c>
      <c r="C28" s="45">
        <v>6481.34</v>
      </c>
      <c r="D28" s="45">
        <v>6364.06</v>
      </c>
      <c r="E28" s="45">
        <v>6449.8</v>
      </c>
      <c r="F28" s="45">
        <v>6449.8</v>
      </c>
      <c r="G28" s="73">
        <v>2.402076E10</v>
      </c>
    </row>
    <row r="29">
      <c r="A29" s="72">
        <v>45873.0</v>
      </c>
      <c r="B29" s="45">
        <v>6271.71</v>
      </c>
      <c r="C29" s="45">
        <v>6395.16</v>
      </c>
      <c r="D29" s="45">
        <v>6271.71</v>
      </c>
      <c r="E29" s="45">
        <v>6389.45</v>
      </c>
      <c r="F29" s="45">
        <v>6389.45</v>
      </c>
      <c r="G29" s="73">
        <v>2.584455E10</v>
      </c>
    </row>
    <row r="30">
      <c r="A30" s="72">
        <v>45866.0</v>
      </c>
      <c r="B30" s="45">
        <v>6397.69</v>
      </c>
      <c r="C30" s="45">
        <v>6427.02</v>
      </c>
      <c r="D30" s="45">
        <v>6212.69</v>
      </c>
      <c r="E30" s="45">
        <v>6238.01</v>
      </c>
      <c r="F30" s="45">
        <v>6238.01</v>
      </c>
      <c r="G30" s="73">
        <v>2.692104E10</v>
      </c>
    </row>
    <row r="31">
      <c r="A31" s="72">
        <v>45859.0</v>
      </c>
      <c r="B31" s="45">
        <v>6304.74</v>
      </c>
      <c r="C31" s="45">
        <v>6395.82</v>
      </c>
      <c r="D31" s="45">
        <v>6281.71</v>
      </c>
      <c r="E31" s="45">
        <v>6388.64</v>
      </c>
      <c r="F31" s="45">
        <v>6388.64</v>
      </c>
      <c r="G31" s="73">
        <v>2.606883E10</v>
      </c>
    </row>
    <row r="32">
      <c r="A32" s="72">
        <v>45852.0</v>
      </c>
      <c r="B32" s="45">
        <v>6255.15</v>
      </c>
      <c r="C32" s="45">
        <v>6315.61</v>
      </c>
      <c r="D32" s="45">
        <v>6201.59</v>
      </c>
      <c r="E32" s="45">
        <v>6296.79</v>
      </c>
      <c r="F32" s="45">
        <v>6296.79</v>
      </c>
      <c r="G32" s="73">
        <v>2.573037E10</v>
      </c>
    </row>
    <row r="33">
      <c r="A33" s="72">
        <v>45845.0</v>
      </c>
      <c r="B33" s="45">
        <v>6259.04</v>
      </c>
      <c r="C33" s="45">
        <v>6290.22</v>
      </c>
      <c r="D33" s="45">
        <v>6201.0</v>
      </c>
      <c r="E33" s="45">
        <v>6259.75</v>
      </c>
      <c r="F33" s="45">
        <v>6259.75</v>
      </c>
      <c r="G33" s="73">
        <v>2.581267E10</v>
      </c>
    </row>
    <row r="34">
      <c r="A34" s="72">
        <v>45838.0</v>
      </c>
      <c r="B34" s="45">
        <v>6193.36</v>
      </c>
      <c r="C34" s="45">
        <v>6284.65</v>
      </c>
      <c r="D34" s="45">
        <v>6174.97</v>
      </c>
      <c r="E34" s="45">
        <v>6279.35</v>
      </c>
      <c r="F34" s="45">
        <v>6279.35</v>
      </c>
      <c r="G34" s="73">
        <v>2.108203E10</v>
      </c>
    </row>
    <row r="35">
      <c r="A35" s="72">
        <v>45831.0</v>
      </c>
      <c r="B35" s="45">
        <v>5969.67</v>
      </c>
      <c r="C35" s="45">
        <v>6187.68</v>
      </c>
      <c r="D35" s="45">
        <v>5943.23</v>
      </c>
      <c r="E35" s="45">
        <v>6173.07</v>
      </c>
      <c r="F35" s="45">
        <v>6173.07</v>
      </c>
      <c r="G35" s="73">
        <v>2.940929E10</v>
      </c>
    </row>
    <row r="36">
      <c r="A36" s="72">
        <v>45824.0</v>
      </c>
      <c r="B36" s="45">
        <v>6004.0</v>
      </c>
      <c r="C36" s="45">
        <v>6050.83</v>
      </c>
      <c r="D36" s="45">
        <v>5952.56</v>
      </c>
      <c r="E36" s="45">
        <v>5967.84</v>
      </c>
      <c r="F36" s="45">
        <v>5967.84</v>
      </c>
      <c r="G36" s="73">
        <v>2.262538E10</v>
      </c>
    </row>
    <row r="37">
      <c r="A37" s="72">
        <v>45817.0</v>
      </c>
      <c r="B37" s="45">
        <v>6004.63</v>
      </c>
      <c r="C37" s="45">
        <v>6059.4</v>
      </c>
      <c r="D37" s="45">
        <v>5963.21</v>
      </c>
      <c r="E37" s="45">
        <v>5976.97</v>
      </c>
      <c r="F37" s="45">
        <v>5976.97</v>
      </c>
      <c r="G37" s="73">
        <v>2.45652E10</v>
      </c>
    </row>
    <row r="38">
      <c r="A38" s="72">
        <v>45810.0</v>
      </c>
      <c r="B38" s="45">
        <v>5896.68</v>
      </c>
      <c r="C38" s="45">
        <v>6016.87</v>
      </c>
      <c r="D38" s="45">
        <v>5861.43</v>
      </c>
      <c r="E38" s="45">
        <v>6000.36</v>
      </c>
      <c r="F38" s="45">
        <v>6000.36</v>
      </c>
      <c r="G38" s="73">
        <v>2.407353E10</v>
      </c>
    </row>
    <row r="39">
      <c r="A39" s="72">
        <v>45803.0</v>
      </c>
      <c r="B39" s="45">
        <v>5854.07</v>
      </c>
      <c r="C39" s="45">
        <v>5943.13</v>
      </c>
      <c r="D39" s="45">
        <v>5843.66</v>
      </c>
      <c r="E39" s="45">
        <v>5911.69</v>
      </c>
      <c r="F39" s="45">
        <v>5911.69</v>
      </c>
      <c r="G39" s="73">
        <v>2.097972E10</v>
      </c>
    </row>
    <row r="40">
      <c r="A40" s="72">
        <v>45796.0</v>
      </c>
      <c r="B40" s="45">
        <v>5902.88</v>
      </c>
      <c r="C40" s="45">
        <v>5968.61</v>
      </c>
      <c r="D40" s="45">
        <v>5767.41</v>
      </c>
      <c r="E40" s="45">
        <v>5802.82</v>
      </c>
      <c r="F40" s="45">
        <v>5802.82</v>
      </c>
      <c r="G40" s="73">
        <v>2.363498E10</v>
      </c>
    </row>
    <row r="41">
      <c r="A41" s="72">
        <v>45789.0</v>
      </c>
      <c r="B41" s="45">
        <v>5807.2</v>
      </c>
      <c r="C41" s="45">
        <v>5958.62</v>
      </c>
      <c r="D41" s="45">
        <v>5786.08</v>
      </c>
      <c r="E41" s="45">
        <v>5958.38</v>
      </c>
      <c r="F41" s="45">
        <v>5958.38</v>
      </c>
      <c r="G41" s="73">
        <v>2.660646E10</v>
      </c>
    </row>
    <row r="42">
      <c r="A42" s="72">
        <v>45782.0</v>
      </c>
      <c r="B42" s="45">
        <v>5655.32</v>
      </c>
      <c r="C42" s="45">
        <v>5720.1</v>
      </c>
      <c r="D42" s="45">
        <v>5578.64</v>
      </c>
      <c r="E42" s="45">
        <v>5659.91</v>
      </c>
      <c r="F42" s="45">
        <v>5659.91</v>
      </c>
      <c r="G42" s="73">
        <v>2.433545E10</v>
      </c>
    </row>
    <row r="43">
      <c r="A43" s="72">
        <v>45775.0</v>
      </c>
      <c r="B43" s="45">
        <v>5529.22</v>
      </c>
      <c r="C43" s="45">
        <v>5700.7</v>
      </c>
      <c r="D43" s="45">
        <v>5433.24</v>
      </c>
      <c r="E43" s="45">
        <v>5686.67</v>
      </c>
      <c r="F43" s="45">
        <v>5686.67</v>
      </c>
      <c r="G43" s="73">
        <v>2.424417E10</v>
      </c>
    </row>
    <row r="44">
      <c r="A44" s="72">
        <v>45768.0</v>
      </c>
      <c r="B44" s="45">
        <v>5232.94</v>
      </c>
      <c r="C44" s="45">
        <v>5528.11</v>
      </c>
      <c r="D44" s="45">
        <v>5101.63</v>
      </c>
      <c r="E44" s="45">
        <v>5525.21</v>
      </c>
      <c r="F44" s="45">
        <v>5525.21</v>
      </c>
      <c r="G44" s="73">
        <v>2.319897E10</v>
      </c>
    </row>
    <row r="45">
      <c r="A45" s="72">
        <v>45761.0</v>
      </c>
      <c r="B45" s="45">
        <v>5441.96</v>
      </c>
      <c r="C45" s="45">
        <v>5459.46</v>
      </c>
      <c r="D45" s="45">
        <v>5220.79</v>
      </c>
      <c r="E45" s="45">
        <v>5282.7</v>
      </c>
      <c r="F45" s="45">
        <v>5282.7</v>
      </c>
      <c r="G45" s="73">
        <v>1.867118E10</v>
      </c>
    </row>
    <row r="46">
      <c r="A46" s="72">
        <v>45754.0</v>
      </c>
      <c r="B46" s="45">
        <v>4953.79</v>
      </c>
      <c r="C46" s="45">
        <v>5481.34</v>
      </c>
      <c r="D46" s="45">
        <v>4835.04</v>
      </c>
      <c r="E46" s="45">
        <v>5363.36</v>
      </c>
      <c r="F46" s="45">
        <v>5363.36</v>
      </c>
      <c r="G46" s="73">
        <v>3.786941E10</v>
      </c>
    </row>
    <row r="47">
      <c r="A47" s="72">
        <v>45747.0</v>
      </c>
      <c r="B47" s="45">
        <v>5527.91</v>
      </c>
      <c r="C47" s="45">
        <v>5695.31</v>
      </c>
      <c r="D47" s="45">
        <v>5069.9</v>
      </c>
      <c r="E47" s="45">
        <v>5074.08</v>
      </c>
      <c r="F47" s="45">
        <v>5074.08</v>
      </c>
      <c r="G47" s="73">
        <v>2.999955E10</v>
      </c>
    </row>
    <row r="48">
      <c r="A48" s="72">
        <v>45740.0</v>
      </c>
      <c r="B48" s="45">
        <v>5718.08</v>
      </c>
      <c r="C48" s="45">
        <v>5786.95</v>
      </c>
      <c r="D48" s="45">
        <v>5572.42</v>
      </c>
      <c r="E48" s="45">
        <v>5580.94</v>
      </c>
      <c r="F48" s="45">
        <v>5580.94</v>
      </c>
      <c r="G48" s="73">
        <v>2.208526E10</v>
      </c>
    </row>
    <row r="49">
      <c r="A49" s="72">
        <v>45733.0</v>
      </c>
      <c r="B49" s="45">
        <v>5635.6</v>
      </c>
      <c r="C49" s="45">
        <v>5715.33</v>
      </c>
      <c r="D49" s="45">
        <v>5597.76</v>
      </c>
      <c r="E49" s="45">
        <v>5667.56</v>
      </c>
      <c r="F49" s="45">
        <v>5667.56</v>
      </c>
      <c r="G49" s="73">
        <v>2.840401E10</v>
      </c>
    </row>
    <row r="50">
      <c r="A50" s="72">
        <v>45726.0</v>
      </c>
      <c r="B50" s="45">
        <v>5705.37</v>
      </c>
      <c r="C50" s="45">
        <v>5705.37</v>
      </c>
      <c r="D50" s="45">
        <v>5504.65</v>
      </c>
      <c r="E50" s="45">
        <v>5638.94</v>
      </c>
      <c r="F50" s="45">
        <v>5638.94</v>
      </c>
      <c r="G50" s="73">
        <v>2.77326E10</v>
      </c>
    </row>
    <row r="51">
      <c r="A51" s="72">
        <v>45719.0</v>
      </c>
      <c r="B51" s="45">
        <v>5968.33</v>
      </c>
      <c r="C51" s="45">
        <v>5986.09</v>
      </c>
      <c r="D51" s="45">
        <v>5666.29</v>
      </c>
      <c r="E51" s="45">
        <v>5770.2</v>
      </c>
      <c r="F51" s="45">
        <v>5770.2</v>
      </c>
      <c r="G51" s="73">
        <v>2.790815E10</v>
      </c>
    </row>
    <row r="52">
      <c r="A52" s="72">
        <v>45712.0</v>
      </c>
      <c r="B52" s="45">
        <v>6026.69</v>
      </c>
      <c r="C52" s="45">
        <v>6043.65</v>
      </c>
      <c r="D52" s="45">
        <v>5837.66</v>
      </c>
      <c r="E52" s="45">
        <v>5954.5</v>
      </c>
      <c r="F52" s="45">
        <v>5954.5</v>
      </c>
      <c r="G52" s="73">
        <v>2.673321E10</v>
      </c>
    </row>
    <row r="53">
      <c r="A53" s="72">
        <v>45705.0</v>
      </c>
      <c r="B53" s="45">
        <v>6121.6</v>
      </c>
      <c r="C53" s="45">
        <v>6147.43</v>
      </c>
      <c r="D53" s="45">
        <v>6008.56</v>
      </c>
      <c r="E53" s="45">
        <v>6013.13</v>
      </c>
      <c r="F53" s="45">
        <v>6013.13</v>
      </c>
      <c r="G53" s="73">
        <v>1.949556E10</v>
      </c>
    </row>
    <row r="54">
      <c r="A54" s="72">
        <v>45698.0</v>
      </c>
      <c r="B54" s="45">
        <v>6046.4</v>
      </c>
      <c r="C54" s="45">
        <v>6127.47</v>
      </c>
      <c r="D54" s="45">
        <v>6003.0</v>
      </c>
      <c r="E54" s="45">
        <v>6114.63</v>
      </c>
      <c r="F54" s="45">
        <v>6114.63</v>
      </c>
      <c r="G54" s="73">
        <v>2.251059E10</v>
      </c>
    </row>
    <row r="55">
      <c r="A55" s="74"/>
      <c r="B55" s="14"/>
      <c r="C55" s="14"/>
      <c r="D55" s="14"/>
      <c r="E55" s="14"/>
      <c r="F55" s="14"/>
      <c r="G55" s="14"/>
    </row>
    <row r="56">
      <c r="A56" s="74"/>
      <c r="B56" s="14"/>
      <c r="C56" s="14"/>
      <c r="D56" s="14"/>
      <c r="E56" s="14"/>
      <c r="F56" s="14"/>
      <c r="G56" s="14"/>
    </row>
    <row r="57">
      <c r="A57" s="74"/>
      <c r="B57" s="14"/>
      <c r="C57" s="14"/>
      <c r="D57" s="14"/>
      <c r="E57" s="14"/>
      <c r="F57" s="14"/>
      <c r="G57" s="14"/>
    </row>
    <row r="58">
      <c r="A58" s="74"/>
      <c r="B58" s="14"/>
      <c r="C58" s="14"/>
      <c r="D58" s="14"/>
      <c r="E58" s="14"/>
      <c r="F58" s="14"/>
      <c r="G58" s="14"/>
    </row>
    <row r="59">
      <c r="A59" s="74"/>
      <c r="B59" s="14"/>
      <c r="C59" s="14"/>
      <c r="D59" s="14"/>
      <c r="E59" s="14"/>
      <c r="F59" s="14"/>
      <c r="G59" s="14"/>
    </row>
    <row r="60">
      <c r="A60" s="74"/>
      <c r="B60" s="14"/>
      <c r="C60" s="14"/>
      <c r="D60" s="14"/>
      <c r="E60" s="14"/>
      <c r="F60" s="14"/>
      <c r="G60" s="14"/>
    </row>
    <row r="61">
      <c r="A61" s="74"/>
      <c r="B61" s="14"/>
      <c r="C61" s="14"/>
      <c r="D61" s="14"/>
      <c r="E61" s="14"/>
      <c r="F61" s="14"/>
      <c r="G61" s="14"/>
    </row>
    <row r="62">
      <c r="A62" s="74"/>
      <c r="B62" s="14"/>
      <c r="C62" s="14"/>
      <c r="D62" s="14"/>
      <c r="E62" s="14"/>
      <c r="F62" s="14"/>
      <c r="G62" s="14"/>
    </row>
    <row r="63">
      <c r="A63" s="74"/>
      <c r="B63" s="14"/>
      <c r="C63" s="14"/>
      <c r="D63" s="14"/>
      <c r="E63" s="14"/>
      <c r="F63" s="14"/>
      <c r="G63" s="14"/>
    </row>
    <row r="64">
      <c r="A64" s="74"/>
      <c r="B64" s="14"/>
      <c r="C64" s="14"/>
      <c r="D64" s="14"/>
      <c r="E64" s="14"/>
      <c r="F64" s="14"/>
      <c r="G64" s="14"/>
    </row>
    <row r="65">
      <c r="A65" s="74"/>
      <c r="B65" s="14"/>
      <c r="C65" s="14"/>
      <c r="D65" s="14"/>
      <c r="E65" s="14"/>
      <c r="F65" s="14"/>
      <c r="G65" s="14"/>
    </row>
    <row r="66">
      <c r="A66" s="74"/>
      <c r="B66" s="14"/>
      <c r="C66" s="14"/>
      <c r="D66" s="14"/>
      <c r="E66" s="14"/>
      <c r="F66" s="14"/>
      <c r="G66" s="14"/>
    </row>
    <row r="67">
      <c r="A67" s="74"/>
      <c r="B67" s="14"/>
      <c r="C67" s="14"/>
      <c r="D67" s="14"/>
      <c r="E67" s="14"/>
      <c r="F67" s="14"/>
      <c r="G67" s="14"/>
    </row>
    <row r="68">
      <c r="A68" s="74"/>
      <c r="B68" s="14"/>
      <c r="C68" s="14"/>
      <c r="D68" s="14"/>
      <c r="E68" s="14"/>
      <c r="F68" s="14"/>
      <c r="G68" s="14"/>
    </row>
    <row r="69">
      <c r="A69" s="74"/>
      <c r="B69" s="14"/>
      <c r="C69" s="14"/>
      <c r="D69" s="14"/>
      <c r="E69" s="14"/>
      <c r="F69" s="14"/>
      <c r="G69" s="14"/>
    </row>
    <row r="70">
      <c r="A70" s="74"/>
      <c r="B70" s="14"/>
      <c r="C70" s="14"/>
      <c r="D70" s="14"/>
      <c r="E70" s="14"/>
      <c r="F70" s="14"/>
      <c r="G70" s="14"/>
    </row>
    <row r="71">
      <c r="A71" s="74"/>
      <c r="B71" s="14"/>
      <c r="C71" s="14"/>
      <c r="D71" s="14"/>
      <c r="E71" s="14"/>
      <c r="F71" s="14"/>
      <c r="G71" s="14"/>
    </row>
    <row r="72">
      <c r="A72" s="74"/>
      <c r="B72" s="14"/>
      <c r="C72" s="14"/>
      <c r="D72" s="14"/>
      <c r="E72" s="14"/>
      <c r="F72" s="14"/>
      <c r="G72" s="14"/>
    </row>
    <row r="73">
      <c r="A73" s="74"/>
      <c r="B73" s="14"/>
      <c r="C73" s="14"/>
      <c r="D73" s="14"/>
      <c r="E73" s="14"/>
      <c r="F73" s="14"/>
      <c r="G73" s="14"/>
    </row>
    <row r="74">
      <c r="A74" s="74"/>
      <c r="B74" s="14"/>
      <c r="C74" s="14"/>
      <c r="D74" s="14"/>
      <c r="E74" s="14"/>
      <c r="F74" s="14"/>
      <c r="G74" s="14"/>
    </row>
    <row r="75">
      <c r="A75" s="74"/>
      <c r="B75" s="14"/>
      <c r="C75" s="14"/>
      <c r="D75" s="14"/>
      <c r="E75" s="14"/>
      <c r="F75" s="14"/>
      <c r="G75" s="14"/>
    </row>
    <row r="76">
      <c r="A76" s="74"/>
      <c r="B76" s="14"/>
      <c r="C76" s="14"/>
      <c r="D76" s="14"/>
      <c r="E76" s="14"/>
      <c r="F76" s="14"/>
      <c r="G76" s="14"/>
    </row>
    <row r="77">
      <c r="A77" s="74"/>
      <c r="B77" s="14"/>
      <c r="C77" s="14"/>
      <c r="D77" s="14"/>
      <c r="E77" s="14"/>
      <c r="F77" s="14"/>
      <c r="G77" s="14"/>
    </row>
    <row r="78">
      <c r="A78" s="74"/>
      <c r="B78" s="14"/>
      <c r="C78" s="14"/>
      <c r="D78" s="14"/>
      <c r="E78" s="14"/>
      <c r="F78" s="14"/>
      <c r="G78" s="14"/>
    </row>
    <row r="79">
      <c r="A79" s="74"/>
      <c r="B79" s="14"/>
      <c r="C79" s="14"/>
      <c r="D79" s="14"/>
      <c r="E79" s="14"/>
      <c r="F79" s="14"/>
      <c r="G79" s="14"/>
    </row>
    <row r="80">
      <c r="A80" s="74"/>
      <c r="B80" s="14"/>
      <c r="C80" s="14"/>
      <c r="D80" s="14"/>
      <c r="E80" s="14"/>
      <c r="F80" s="14"/>
      <c r="G80" s="14"/>
    </row>
    <row r="81">
      <c r="A81" s="74"/>
      <c r="B81" s="14"/>
      <c r="C81" s="14"/>
      <c r="D81" s="14"/>
      <c r="E81" s="14"/>
      <c r="F81" s="14"/>
      <c r="G81" s="14"/>
    </row>
    <row r="82">
      <c r="A82" s="74"/>
      <c r="B82" s="14"/>
      <c r="C82" s="14"/>
      <c r="D82" s="14"/>
      <c r="E82" s="14"/>
      <c r="F82" s="14"/>
      <c r="G82" s="14"/>
    </row>
    <row r="83">
      <c r="A83" s="74"/>
      <c r="B83" s="14"/>
      <c r="C83" s="14"/>
      <c r="D83" s="14"/>
      <c r="E83" s="14"/>
      <c r="F83" s="14"/>
      <c r="G83" s="14"/>
    </row>
    <row r="84">
      <c r="A84" s="74"/>
      <c r="B84" s="14"/>
      <c r="C84" s="14"/>
      <c r="D84" s="14"/>
      <c r="E84" s="14"/>
      <c r="F84" s="14"/>
      <c r="G84" s="14"/>
    </row>
    <row r="85">
      <c r="A85" s="74"/>
      <c r="B85" s="14"/>
      <c r="C85" s="14"/>
      <c r="D85" s="14"/>
      <c r="E85" s="14"/>
      <c r="F85" s="14"/>
      <c r="G85" s="14"/>
    </row>
    <row r="86">
      <c r="A86" s="74"/>
      <c r="B86" s="14"/>
      <c r="C86" s="14"/>
      <c r="D86" s="14"/>
      <c r="E86" s="14"/>
      <c r="F86" s="14"/>
      <c r="G86" s="14"/>
    </row>
    <row r="87">
      <c r="A87" s="74"/>
      <c r="B87" s="14"/>
      <c r="C87" s="14"/>
      <c r="D87" s="14"/>
      <c r="E87" s="14"/>
      <c r="F87" s="14"/>
      <c r="G87" s="14"/>
    </row>
    <row r="88">
      <c r="A88" s="74"/>
      <c r="B88" s="14"/>
      <c r="C88" s="14"/>
      <c r="D88" s="14"/>
      <c r="E88" s="14"/>
      <c r="F88" s="14"/>
      <c r="G88" s="14"/>
    </row>
    <row r="89">
      <c r="A89" s="74"/>
      <c r="B89" s="14"/>
      <c r="C89" s="14"/>
      <c r="D89" s="14"/>
      <c r="E89" s="14"/>
      <c r="F89" s="14"/>
      <c r="G89" s="14"/>
    </row>
    <row r="90">
      <c r="A90" s="74"/>
      <c r="B90" s="14"/>
      <c r="C90" s="14"/>
      <c r="D90" s="14"/>
      <c r="E90" s="14"/>
      <c r="F90" s="14"/>
      <c r="G90" s="14"/>
    </row>
    <row r="91">
      <c r="A91" s="74"/>
      <c r="B91" s="14"/>
      <c r="C91" s="14"/>
      <c r="D91" s="14"/>
      <c r="E91" s="14"/>
      <c r="F91" s="14"/>
      <c r="G91" s="14"/>
    </row>
    <row r="92">
      <c r="A92" s="74"/>
      <c r="B92" s="14"/>
      <c r="C92" s="14"/>
      <c r="D92" s="14"/>
      <c r="E92" s="14"/>
      <c r="F92" s="14"/>
      <c r="G92" s="14"/>
    </row>
    <row r="93">
      <c r="A93" s="74"/>
      <c r="B93" s="14"/>
      <c r="C93" s="14"/>
      <c r="D93" s="14"/>
      <c r="E93" s="14"/>
      <c r="F93" s="14"/>
      <c r="G93" s="14"/>
    </row>
    <row r="94">
      <c r="A94" s="74"/>
      <c r="B94" s="14"/>
      <c r="C94" s="14"/>
      <c r="D94" s="14"/>
      <c r="E94" s="14"/>
      <c r="F94" s="14"/>
      <c r="G94" s="14"/>
    </row>
    <row r="95">
      <c r="A95" s="74"/>
      <c r="B95" s="14"/>
      <c r="C95" s="14"/>
      <c r="D95" s="14"/>
      <c r="E95" s="14"/>
      <c r="F95" s="14"/>
      <c r="G95" s="14"/>
    </row>
    <row r="96">
      <c r="A96" s="74"/>
      <c r="B96" s="14"/>
      <c r="C96" s="14"/>
      <c r="D96" s="14"/>
      <c r="E96" s="14"/>
      <c r="F96" s="14"/>
      <c r="G96" s="14"/>
    </row>
    <row r="97">
      <c r="A97" s="74"/>
      <c r="B97" s="14"/>
      <c r="C97" s="14"/>
      <c r="D97" s="14"/>
      <c r="E97" s="14"/>
      <c r="F97" s="14"/>
      <c r="G97" s="14"/>
    </row>
    <row r="98">
      <c r="A98" s="74"/>
      <c r="B98" s="14"/>
      <c r="C98" s="14"/>
      <c r="D98" s="14"/>
      <c r="E98" s="14"/>
      <c r="F98" s="14"/>
      <c r="G98" s="14"/>
    </row>
    <row r="99">
      <c r="A99" s="74"/>
      <c r="B99" s="14"/>
      <c r="C99" s="14"/>
      <c r="D99" s="14"/>
      <c r="E99" s="14"/>
      <c r="F99" s="14"/>
      <c r="G99" s="14"/>
    </row>
    <row r="100">
      <c r="A100" s="74"/>
      <c r="B100" s="14"/>
      <c r="C100" s="14"/>
      <c r="D100" s="14"/>
      <c r="E100" s="14"/>
      <c r="F100" s="14"/>
      <c r="G100" s="14"/>
    </row>
    <row r="101">
      <c r="A101" s="74"/>
      <c r="B101" s="14"/>
      <c r="C101" s="14"/>
      <c r="D101" s="14"/>
      <c r="E101" s="14"/>
      <c r="F101" s="14"/>
      <c r="G101" s="14"/>
    </row>
    <row r="102">
      <c r="A102" s="74"/>
      <c r="B102" s="14"/>
      <c r="C102" s="14"/>
      <c r="D102" s="14"/>
      <c r="E102" s="14"/>
      <c r="F102" s="14"/>
      <c r="G102" s="14"/>
    </row>
    <row r="103">
      <c r="A103" s="74"/>
      <c r="B103" s="14"/>
      <c r="C103" s="14"/>
      <c r="D103" s="14"/>
      <c r="E103" s="14"/>
      <c r="F103" s="14"/>
      <c r="G103" s="14"/>
    </row>
    <row r="104">
      <c r="A104" s="74"/>
      <c r="B104" s="14"/>
      <c r="C104" s="14"/>
      <c r="D104" s="14"/>
      <c r="E104" s="14"/>
      <c r="F104" s="14"/>
      <c r="G104" s="14"/>
    </row>
    <row r="105">
      <c r="A105" s="74"/>
      <c r="B105" s="14"/>
      <c r="C105" s="14"/>
      <c r="D105" s="14"/>
      <c r="E105" s="14"/>
      <c r="F105" s="14"/>
      <c r="G105" s="14"/>
    </row>
    <row r="106">
      <c r="A106" s="74"/>
      <c r="B106" s="14"/>
      <c r="C106" s="14"/>
      <c r="D106" s="14"/>
      <c r="E106" s="14"/>
      <c r="F106" s="14"/>
      <c r="G106" s="14"/>
    </row>
    <row r="107">
      <c r="A107" s="74"/>
      <c r="B107" s="14"/>
      <c r="C107" s="14"/>
      <c r="D107" s="14"/>
      <c r="E107" s="14"/>
      <c r="F107" s="14"/>
      <c r="G107" s="14"/>
    </row>
    <row r="108">
      <c r="A108" s="74"/>
      <c r="B108" s="14"/>
      <c r="C108" s="14"/>
      <c r="D108" s="14"/>
      <c r="E108" s="14"/>
      <c r="F108" s="14"/>
      <c r="G108" s="14"/>
    </row>
    <row r="109">
      <c r="A109" s="74"/>
      <c r="B109" s="14"/>
      <c r="C109" s="14"/>
      <c r="D109" s="14"/>
      <c r="E109" s="14"/>
      <c r="F109" s="14"/>
      <c r="G109" s="14"/>
    </row>
    <row r="110">
      <c r="A110" s="74"/>
      <c r="B110" s="14"/>
      <c r="C110" s="14"/>
      <c r="D110" s="14"/>
      <c r="E110" s="14"/>
      <c r="F110" s="14"/>
      <c r="G110" s="14"/>
    </row>
    <row r="111">
      <c r="A111" s="74"/>
      <c r="B111" s="14"/>
      <c r="C111" s="14"/>
      <c r="D111" s="14"/>
      <c r="E111" s="14"/>
      <c r="F111" s="14"/>
      <c r="G111" s="14"/>
    </row>
    <row r="112">
      <c r="A112" s="74"/>
      <c r="B112" s="14"/>
      <c r="C112" s="14"/>
      <c r="D112" s="14"/>
      <c r="E112" s="14"/>
      <c r="F112" s="14"/>
      <c r="G112" s="14"/>
    </row>
    <row r="113">
      <c r="A113" s="74"/>
      <c r="B113" s="14"/>
      <c r="C113" s="14"/>
      <c r="D113" s="14"/>
      <c r="E113" s="14"/>
      <c r="F113" s="14"/>
      <c r="G113" s="14"/>
    </row>
    <row r="114">
      <c r="A114" s="74"/>
      <c r="B114" s="14"/>
      <c r="C114" s="14"/>
      <c r="D114" s="14"/>
      <c r="E114" s="14"/>
      <c r="F114" s="14"/>
      <c r="G114" s="14"/>
    </row>
    <row r="115">
      <c r="A115" s="74"/>
      <c r="B115" s="14"/>
      <c r="C115" s="14"/>
      <c r="D115" s="14"/>
      <c r="E115" s="14"/>
      <c r="F115" s="14"/>
      <c r="G115" s="14"/>
    </row>
    <row r="116">
      <c r="A116" s="74"/>
      <c r="B116" s="14"/>
      <c r="C116" s="14"/>
      <c r="D116" s="14"/>
      <c r="E116" s="14"/>
      <c r="F116" s="14"/>
      <c r="G116" s="14"/>
    </row>
    <row r="117">
      <c r="A117" s="74"/>
      <c r="B117" s="14"/>
      <c r="C117" s="14"/>
      <c r="D117" s="14"/>
      <c r="E117" s="14"/>
      <c r="F117" s="14"/>
      <c r="G117" s="14"/>
    </row>
    <row r="118">
      <c r="A118" s="74"/>
      <c r="B118" s="14"/>
      <c r="C118" s="14"/>
      <c r="D118" s="14"/>
      <c r="E118" s="14"/>
      <c r="F118" s="14"/>
      <c r="G118" s="14"/>
    </row>
    <row r="119">
      <c r="A119" s="74"/>
      <c r="B119" s="14"/>
      <c r="C119" s="14"/>
      <c r="D119" s="14"/>
      <c r="E119" s="14"/>
      <c r="F119" s="14"/>
      <c r="G119" s="14"/>
    </row>
    <row r="120">
      <c r="A120" s="74"/>
      <c r="B120" s="14"/>
      <c r="C120" s="14"/>
      <c r="D120" s="14"/>
      <c r="E120" s="14"/>
      <c r="F120" s="14"/>
      <c r="G120" s="14"/>
    </row>
    <row r="121">
      <c r="A121" s="74"/>
      <c r="B121" s="14"/>
      <c r="C121" s="14"/>
      <c r="D121" s="14"/>
      <c r="E121" s="14"/>
      <c r="F121" s="14"/>
      <c r="G121" s="14"/>
    </row>
    <row r="122">
      <c r="A122" s="74"/>
      <c r="B122" s="14"/>
      <c r="C122" s="14"/>
      <c r="D122" s="14"/>
      <c r="E122" s="14"/>
      <c r="F122" s="14"/>
      <c r="G122" s="14"/>
    </row>
    <row r="123">
      <c r="A123" s="74"/>
      <c r="B123" s="14"/>
      <c r="C123" s="14"/>
      <c r="D123" s="14"/>
      <c r="E123" s="14"/>
      <c r="F123" s="14"/>
      <c r="G123" s="14"/>
    </row>
    <row r="124">
      <c r="A124" s="74"/>
      <c r="B124" s="14"/>
      <c r="C124" s="14"/>
      <c r="D124" s="14"/>
      <c r="E124" s="14"/>
      <c r="F124" s="14"/>
      <c r="G124" s="14"/>
    </row>
    <row r="125">
      <c r="A125" s="74"/>
      <c r="B125" s="14"/>
      <c r="C125" s="14"/>
      <c r="D125" s="14"/>
      <c r="E125" s="14"/>
      <c r="F125" s="14"/>
      <c r="G125" s="14"/>
    </row>
    <row r="126">
      <c r="A126" s="74"/>
      <c r="B126" s="14"/>
      <c r="C126" s="14"/>
      <c r="D126" s="14"/>
      <c r="E126" s="14"/>
      <c r="F126" s="14"/>
      <c r="G126" s="14"/>
    </row>
    <row r="127">
      <c r="A127" s="74"/>
      <c r="B127" s="14"/>
      <c r="C127" s="14"/>
      <c r="D127" s="14"/>
      <c r="E127" s="14"/>
      <c r="F127" s="14"/>
      <c r="G127" s="14"/>
    </row>
    <row r="128">
      <c r="A128" s="74"/>
      <c r="B128" s="14"/>
      <c r="C128" s="14"/>
      <c r="D128" s="14"/>
      <c r="E128" s="14"/>
      <c r="F128" s="14"/>
      <c r="G128" s="14"/>
    </row>
    <row r="129">
      <c r="A129" s="74"/>
      <c r="B129" s="14"/>
      <c r="C129" s="14"/>
      <c r="D129" s="14"/>
      <c r="E129" s="14"/>
      <c r="F129" s="14"/>
      <c r="G129" s="14"/>
    </row>
    <row r="130">
      <c r="A130" s="74"/>
      <c r="B130" s="14"/>
      <c r="C130" s="14"/>
      <c r="D130" s="14"/>
      <c r="E130" s="14"/>
      <c r="F130" s="14"/>
      <c r="G130" s="14"/>
    </row>
    <row r="131">
      <c r="A131" s="74"/>
      <c r="B131" s="14"/>
      <c r="C131" s="14"/>
      <c r="D131" s="14"/>
      <c r="E131" s="14"/>
      <c r="F131" s="14"/>
      <c r="G131" s="14"/>
    </row>
    <row r="132">
      <c r="A132" s="74"/>
      <c r="B132" s="14"/>
      <c r="C132" s="14"/>
      <c r="D132" s="14"/>
      <c r="E132" s="14"/>
      <c r="F132" s="14"/>
      <c r="G132" s="14"/>
    </row>
    <row r="133">
      <c r="A133" s="74"/>
      <c r="B133" s="14"/>
      <c r="C133" s="14"/>
      <c r="D133" s="14"/>
      <c r="E133" s="14"/>
      <c r="F133" s="14"/>
      <c r="G133" s="14"/>
    </row>
    <row r="134">
      <c r="A134" s="74"/>
      <c r="B134" s="14"/>
      <c r="C134" s="14"/>
      <c r="D134" s="14"/>
      <c r="E134" s="14"/>
      <c r="F134" s="14"/>
      <c r="G134" s="14"/>
    </row>
    <row r="135">
      <c r="A135" s="74"/>
      <c r="B135" s="14"/>
      <c r="C135" s="14"/>
      <c r="D135" s="14"/>
      <c r="E135" s="14"/>
      <c r="F135" s="14"/>
      <c r="G135" s="14"/>
    </row>
    <row r="136">
      <c r="A136" s="74"/>
      <c r="B136" s="14"/>
      <c r="C136" s="14"/>
      <c r="D136" s="14"/>
      <c r="E136" s="14"/>
      <c r="F136" s="14"/>
      <c r="G136" s="14"/>
    </row>
    <row r="137">
      <c r="A137" s="74"/>
      <c r="B137" s="14"/>
      <c r="C137" s="14"/>
      <c r="D137" s="14"/>
      <c r="E137" s="14"/>
      <c r="F137" s="14"/>
      <c r="G137" s="14"/>
    </row>
    <row r="138">
      <c r="A138" s="74"/>
      <c r="B138" s="14"/>
      <c r="C138" s="14"/>
      <c r="D138" s="14"/>
      <c r="E138" s="14"/>
      <c r="F138" s="14"/>
      <c r="G138" s="14"/>
    </row>
    <row r="139">
      <c r="A139" s="74"/>
      <c r="B139" s="14"/>
      <c r="C139" s="14"/>
      <c r="D139" s="14"/>
      <c r="E139" s="14"/>
      <c r="F139" s="14"/>
      <c r="G139" s="14"/>
    </row>
    <row r="140">
      <c r="A140" s="74"/>
      <c r="B140" s="14"/>
      <c r="C140" s="14"/>
      <c r="D140" s="14"/>
      <c r="E140" s="14"/>
      <c r="F140" s="14"/>
      <c r="G140" s="14"/>
    </row>
    <row r="141">
      <c r="A141" s="74"/>
      <c r="B141" s="14"/>
      <c r="C141" s="14"/>
      <c r="D141" s="14"/>
      <c r="E141" s="14"/>
      <c r="F141" s="14"/>
      <c r="G141" s="14"/>
    </row>
    <row r="142">
      <c r="A142" s="74"/>
      <c r="B142" s="14"/>
      <c r="C142" s="14"/>
      <c r="D142" s="14"/>
      <c r="E142" s="14"/>
      <c r="F142" s="14"/>
      <c r="G142" s="14"/>
    </row>
    <row r="143">
      <c r="A143" s="74"/>
      <c r="B143" s="14"/>
      <c r="C143" s="14"/>
      <c r="D143" s="14"/>
      <c r="E143" s="14"/>
      <c r="F143" s="14"/>
      <c r="G143" s="14"/>
    </row>
    <row r="144">
      <c r="A144" s="74"/>
      <c r="B144" s="14"/>
      <c r="C144" s="14"/>
      <c r="D144" s="14"/>
      <c r="E144" s="14"/>
      <c r="F144" s="14"/>
      <c r="G144" s="14"/>
    </row>
    <row r="145">
      <c r="A145" s="74"/>
      <c r="B145" s="14"/>
      <c r="C145" s="14"/>
      <c r="D145" s="14"/>
      <c r="E145" s="14"/>
      <c r="F145" s="14"/>
      <c r="G145" s="14"/>
    </row>
    <row r="146">
      <c r="A146" s="74"/>
      <c r="B146" s="14"/>
      <c r="C146" s="14"/>
      <c r="D146" s="14"/>
      <c r="E146" s="14"/>
      <c r="F146" s="14"/>
      <c r="G146" s="14"/>
    </row>
    <row r="147">
      <c r="A147" s="74"/>
      <c r="B147" s="14"/>
      <c r="C147" s="14"/>
      <c r="D147" s="14"/>
      <c r="E147" s="14"/>
      <c r="F147" s="14"/>
      <c r="G147" s="14"/>
    </row>
    <row r="148">
      <c r="A148" s="74"/>
      <c r="B148" s="14"/>
      <c r="C148" s="14"/>
      <c r="D148" s="14"/>
      <c r="E148" s="14"/>
      <c r="F148" s="14"/>
      <c r="G148" s="14"/>
    </row>
    <row r="149">
      <c r="A149" s="74"/>
      <c r="B149" s="14"/>
      <c r="C149" s="14"/>
      <c r="D149" s="14"/>
      <c r="E149" s="14"/>
      <c r="F149" s="14"/>
      <c r="G149" s="14"/>
    </row>
    <row r="150">
      <c r="A150" s="74"/>
      <c r="B150" s="14"/>
      <c r="C150" s="14"/>
      <c r="D150" s="14"/>
      <c r="E150" s="14"/>
      <c r="F150" s="14"/>
      <c r="G150" s="14"/>
    </row>
    <row r="151">
      <c r="A151" s="74"/>
      <c r="B151" s="14"/>
      <c r="C151" s="14"/>
      <c r="D151" s="14"/>
      <c r="E151" s="14"/>
      <c r="F151" s="14"/>
      <c r="G151" s="14"/>
    </row>
    <row r="152">
      <c r="A152" s="74"/>
      <c r="B152" s="14"/>
      <c r="C152" s="14"/>
      <c r="D152" s="14"/>
      <c r="E152" s="14"/>
      <c r="F152" s="14"/>
      <c r="G152" s="14"/>
    </row>
    <row r="153">
      <c r="A153" s="74"/>
      <c r="B153" s="14"/>
      <c r="C153" s="14"/>
      <c r="D153" s="14"/>
      <c r="E153" s="14"/>
      <c r="F153" s="14"/>
      <c r="G153" s="14"/>
    </row>
    <row r="154">
      <c r="A154" s="74"/>
      <c r="B154" s="14"/>
      <c r="C154" s="14"/>
      <c r="D154" s="14"/>
      <c r="E154" s="14"/>
      <c r="F154" s="14"/>
      <c r="G154" s="14"/>
    </row>
    <row r="155">
      <c r="A155" s="74"/>
      <c r="B155" s="14"/>
      <c r="C155" s="14"/>
      <c r="D155" s="14"/>
      <c r="E155" s="14"/>
      <c r="F155" s="14"/>
      <c r="G155" s="14"/>
    </row>
    <row r="156">
      <c r="A156" s="74"/>
      <c r="B156" s="14"/>
      <c r="C156" s="14"/>
      <c r="D156" s="14"/>
      <c r="E156" s="14"/>
      <c r="F156" s="14"/>
      <c r="G156" s="14"/>
    </row>
    <row r="157">
      <c r="A157" s="74"/>
      <c r="B157" s="14"/>
      <c r="C157" s="14"/>
      <c r="D157" s="14"/>
      <c r="E157" s="14"/>
      <c r="F157" s="14"/>
      <c r="G157" s="14"/>
    </row>
    <row r="158">
      <c r="A158" s="74"/>
      <c r="B158" s="14"/>
      <c r="C158" s="14"/>
      <c r="D158" s="14"/>
      <c r="E158" s="14"/>
      <c r="F158" s="14"/>
      <c r="G158" s="14"/>
    </row>
    <row r="159">
      <c r="A159" s="74"/>
      <c r="B159" s="14"/>
      <c r="C159" s="14"/>
      <c r="D159" s="14"/>
      <c r="E159" s="14"/>
      <c r="F159" s="14"/>
      <c r="G159" s="14"/>
    </row>
    <row r="160">
      <c r="A160" s="74"/>
      <c r="B160" s="14"/>
      <c r="C160" s="14"/>
      <c r="D160" s="14"/>
      <c r="E160" s="14"/>
      <c r="F160" s="14"/>
      <c r="G160" s="14"/>
    </row>
    <row r="161">
      <c r="A161" s="74"/>
      <c r="B161" s="14"/>
      <c r="C161" s="14"/>
      <c r="D161" s="14"/>
      <c r="E161" s="14"/>
      <c r="F161" s="14"/>
      <c r="G161" s="14"/>
    </row>
    <row r="162">
      <c r="A162" s="74"/>
      <c r="B162" s="14"/>
      <c r="C162" s="14"/>
      <c r="D162" s="14"/>
      <c r="E162" s="14"/>
      <c r="F162" s="14"/>
      <c r="G162" s="14"/>
    </row>
    <row r="163">
      <c r="A163" s="74"/>
      <c r="B163" s="14"/>
      <c r="C163" s="14"/>
      <c r="D163" s="14"/>
      <c r="E163" s="14"/>
      <c r="F163" s="14"/>
      <c r="G163" s="14"/>
    </row>
    <row r="164">
      <c r="A164" s="74"/>
      <c r="B164" s="14"/>
      <c r="C164" s="14"/>
      <c r="D164" s="14"/>
      <c r="E164" s="14"/>
      <c r="F164" s="14"/>
      <c r="G164" s="14"/>
    </row>
    <row r="165">
      <c r="A165" s="74"/>
      <c r="B165" s="14"/>
      <c r="C165" s="14"/>
      <c r="D165" s="14"/>
      <c r="E165" s="14"/>
      <c r="F165" s="14"/>
      <c r="G165" s="14"/>
    </row>
    <row r="166">
      <c r="A166" s="74"/>
      <c r="B166" s="14"/>
      <c r="C166" s="14"/>
      <c r="D166" s="14"/>
      <c r="E166" s="14"/>
      <c r="F166" s="14"/>
      <c r="G166" s="14"/>
    </row>
    <row r="167">
      <c r="A167" s="74"/>
      <c r="B167" s="14"/>
      <c r="C167" s="14"/>
      <c r="D167" s="14"/>
      <c r="E167" s="14"/>
      <c r="F167" s="14"/>
      <c r="G167" s="14"/>
    </row>
    <row r="168">
      <c r="A168" s="74"/>
      <c r="B168" s="14"/>
      <c r="C168" s="14"/>
      <c r="D168" s="14"/>
      <c r="E168" s="14"/>
      <c r="F168" s="14"/>
      <c r="G168" s="14"/>
    </row>
    <row r="169">
      <c r="A169" s="74"/>
      <c r="B169" s="14"/>
      <c r="C169" s="14"/>
      <c r="D169" s="14"/>
      <c r="E169" s="14"/>
      <c r="F169" s="14"/>
      <c r="G169" s="14"/>
    </row>
    <row r="170">
      <c r="A170" s="74"/>
      <c r="B170" s="14"/>
      <c r="C170" s="14"/>
      <c r="D170" s="14"/>
      <c r="E170" s="14"/>
      <c r="F170" s="14"/>
      <c r="G170" s="14"/>
    </row>
    <row r="171">
      <c r="A171" s="74"/>
      <c r="B171" s="14"/>
      <c r="C171" s="14"/>
      <c r="D171" s="14"/>
      <c r="E171" s="14"/>
      <c r="F171" s="14"/>
      <c r="G171" s="14"/>
    </row>
    <row r="172">
      <c r="A172" s="74"/>
      <c r="B172" s="14"/>
      <c r="C172" s="14"/>
      <c r="D172" s="14"/>
      <c r="E172" s="14"/>
      <c r="F172" s="14"/>
      <c r="G172" s="14"/>
    </row>
    <row r="173">
      <c r="A173" s="74"/>
      <c r="B173" s="14"/>
      <c r="C173" s="14"/>
      <c r="D173" s="14"/>
      <c r="E173" s="14"/>
      <c r="F173" s="14"/>
      <c r="G173" s="14"/>
    </row>
    <row r="174">
      <c r="A174" s="74"/>
      <c r="B174" s="14"/>
      <c r="C174" s="14"/>
      <c r="D174" s="14"/>
      <c r="E174" s="14"/>
      <c r="F174" s="14"/>
      <c r="G174" s="14"/>
    </row>
    <row r="175">
      <c r="A175" s="74"/>
      <c r="B175" s="14"/>
      <c r="C175" s="14"/>
      <c r="D175" s="14"/>
      <c r="E175" s="14"/>
      <c r="F175" s="14"/>
      <c r="G175" s="14"/>
    </row>
    <row r="176">
      <c r="A176" s="74"/>
      <c r="B176" s="14"/>
      <c r="C176" s="14"/>
      <c r="D176" s="14"/>
      <c r="E176" s="14"/>
      <c r="F176" s="14"/>
      <c r="G176" s="14"/>
    </row>
    <row r="177">
      <c r="A177" s="74"/>
      <c r="B177" s="14"/>
      <c r="C177" s="14"/>
      <c r="D177" s="14"/>
      <c r="E177" s="14"/>
      <c r="F177" s="14"/>
      <c r="G177" s="14"/>
    </row>
    <row r="178">
      <c r="A178" s="74"/>
      <c r="B178" s="14"/>
      <c r="C178" s="14"/>
      <c r="D178" s="14"/>
      <c r="E178" s="14"/>
      <c r="F178" s="14"/>
      <c r="G178" s="14"/>
    </row>
    <row r="179">
      <c r="A179" s="74"/>
      <c r="B179" s="14"/>
      <c r="C179" s="14"/>
      <c r="D179" s="14"/>
      <c r="E179" s="14"/>
      <c r="F179" s="14"/>
      <c r="G179" s="14"/>
    </row>
    <row r="180">
      <c r="A180" s="74"/>
      <c r="B180" s="14"/>
      <c r="C180" s="14"/>
      <c r="D180" s="14"/>
      <c r="E180" s="14"/>
      <c r="F180" s="14"/>
      <c r="G180" s="14"/>
    </row>
    <row r="181">
      <c r="A181" s="74"/>
      <c r="B181" s="14"/>
      <c r="C181" s="14"/>
      <c r="D181" s="14"/>
      <c r="E181" s="14"/>
      <c r="F181" s="14"/>
      <c r="G181" s="14"/>
    </row>
    <row r="182">
      <c r="A182" s="74"/>
      <c r="B182" s="14"/>
      <c r="C182" s="14"/>
      <c r="D182" s="14"/>
      <c r="E182" s="14"/>
      <c r="F182" s="14"/>
      <c r="G182" s="14"/>
    </row>
    <row r="183">
      <c r="A183" s="74"/>
      <c r="B183" s="14"/>
      <c r="C183" s="14"/>
      <c r="D183" s="14"/>
      <c r="E183" s="14"/>
      <c r="F183" s="14"/>
      <c r="G183" s="14"/>
    </row>
    <row r="184">
      <c r="A184" s="74"/>
      <c r="B184" s="14"/>
      <c r="C184" s="14"/>
      <c r="D184" s="14"/>
      <c r="E184" s="14"/>
      <c r="F184" s="14"/>
      <c r="G184" s="14"/>
    </row>
    <row r="185">
      <c r="A185" s="74"/>
      <c r="B185" s="14"/>
      <c r="C185" s="14"/>
      <c r="D185" s="14"/>
      <c r="E185" s="14"/>
      <c r="F185" s="14"/>
      <c r="G185" s="14"/>
    </row>
    <row r="186">
      <c r="A186" s="74"/>
      <c r="B186" s="14"/>
      <c r="C186" s="14"/>
      <c r="D186" s="14"/>
      <c r="E186" s="14"/>
      <c r="F186" s="14"/>
      <c r="G186" s="14"/>
    </row>
    <row r="187">
      <c r="A187" s="74"/>
      <c r="B187" s="14"/>
      <c r="C187" s="14"/>
      <c r="D187" s="14"/>
      <c r="E187" s="14"/>
      <c r="F187" s="14"/>
      <c r="G187" s="14"/>
    </row>
    <row r="188">
      <c r="A188" s="74"/>
      <c r="B188" s="14"/>
      <c r="C188" s="14"/>
      <c r="D188" s="14"/>
      <c r="E188" s="14"/>
      <c r="F188" s="14"/>
      <c r="G188" s="14"/>
    </row>
    <row r="189">
      <c r="A189" s="74"/>
      <c r="B189" s="14"/>
      <c r="C189" s="14"/>
      <c r="D189" s="14"/>
      <c r="E189" s="14"/>
      <c r="F189" s="14"/>
      <c r="G189" s="14"/>
    </row>
    <row r="190">
      <c r="A190" s="74"/>
      <c r="B190" s="14"/>
      <c r="C190" s="14"/>
      <c r="D190" s="14"/>
      <c r="E190" s="14"/>
      <c r="F190" s="14"/>
      <c r="G190" s="14"/>
    </row>
    <row r="191">
      <c r="A191" s="74"/>
      <c r="B191" s="14"/>
      <c r="C191" s="14"/>
      <c r="D191" s="14"/>
      <c r="E191" s="14"/>
      <c r="F191" s="14"/>
      <c r="G191" s="14"/>
    </row>
    <row r="192">
      <c r="A192" s="74"/>
      <c r="B192" s="14"/>
      <c r="C192" s="14"/>
      <c r="D192" s="14"/>
      <c r="E192" s="14"/>
      <c r="F192" s="14"/>
      <c r="G192" s="14"/>
    </row>
    <row r="193">
      <c r="A193" s="74"/>
      <c r="B193" s="14"/>
      <c r="C193" s="14"/>
      <c r="D193" s="14"/>
      <c r="E193" s="14"/>
      <c r="F193" s="14"/>
      <c r="G193" s="14"/>
    </row>
    <row r="194">
      <c r="A194" s="74"/>
      <c r="B194" s="14"/>
      <c r="C194" s="14"/>
      <c r="D194" s="14"/>
      <c r="E194" s="14"/>
      <c r="F194" s="14"/>
      <c r="G194" s="14"/>
    </row>
    <row r="195">
      <c r="A195" s="74"/>
      <c r="B195" s="14"/>
      <c r="C195" s="14"/>
      <c r="D195" s="14"/>
      <c r="E195" s="14"/>
      <c r="F195" s="14"/>
      <c r="G195" s="14"/>
    </row>
    <row r="196">
      <c r="A196" s="74"/>
      <c r="B196" s="14"/>
      <c r="C196" s="14"/>
      <c r="D196" s="14"/>
      <c r="E196" s="14"/>
      <c r="F196" s="14"/>
      <c r="G196" s="14"/>
    </row>
    <row r="197">
      <c r="A197" s="74"/>
      <c r="B197" s="14"/>
      <c r="C197" s="14"/>
      <c r="D197" s="14"/>
      <c r="E197" s="14"/>
      <c r="F197" s="14"/>
      <c r="G197" s="14"/>
    </row>
    <row r="198">
      <c r="A198" s="74"/>
      <c r="B198" s="14"/>
      <c r="C198" s="14"/>
      <c r="D198" s="14"/>
      <c r="E198" s="14"/>
      <c r="F198" s="14"/>
      <c r="G198" s="14"/>
    </row>
    <row r="199">
      <c r="A199" s="74"/>
      <c r="B199" s="14"/>
      <c r="C199" s="14"/>
      <c r="D199" s="14"/>
      <c r="E199" s="14"/>
      <c r="F199" s="14"/>
      <c r="G199" s="14"/>
    </row>
    <row r="200">
      <c r="A200" s="74"/>
      <c r="B200" s="14"/>
      <c r="C200" s="14"/>
      <c r="D200" s="14"/>
      <c r="E200" s="14"/>
      <c r="F200" s="14"/>
      <c r="G200" s="14"/>
    </row>
    <row r="201">
      <c r="A201" s="74"/>
      <c r="B201" s="14"/>
      <c r="C201" s="14"/>
      <c r="D201" s="14"/>
      <c r="E201" s="14"/>
      <c r="F201" s="14"/>
      <c r="G201" s="14"/>
    </row>
    <row r="202">
      <c r="A202" s="74"/>
      <c r="B202" s="14"/>
      <c r="C202" s="14"/>
      <c r="D202" s="14"/>
      <c r="E202" s="14"/>
      <c r="F202" s="14"/>
      <c r="G202" s="14"/>
    </row>
    <row r="203">
      <c r="A203" s="74"/>
      <c r="B203" s="14"/>
      <c r="C203" s="14"/>
      <c r="D203" s="14"/>
      <c r="E203" s="14"/>
      <c r="F203" s="14"/>
      <c r="G203" s="14"/>
    </row>
    <row r="204">
      <c r="A204" s="74"/>
      <c r="B204" s="14"/>
      <c r="C204" s="14"/>
      <c r="D204" s="14"/>
      <c r="E204" s="14"/>
      <c r="F204" s="14"/>
      <c r="G204" s="14"/>
    </row>
    <row r="205">
      <c r="A205" s="74"/>
      <c r="B205" s="14"/>
      <c r="C205" s="14"/>
      <c r="D205" s="14"/>
      <c r="E205" s="14"/>
      <c r="F205" s="14"/>
      <c r="G205" s="14"/>
    </row>
    <row r="206">
      <c r="A206" s="74"/>
      <c r="B206" s="14"/>
      <c r="C206" s="14"/>
      <c r="D206" s="14"/>
      <c r="E206" s="14"/>
      <c r="F206" s="14"/>
      <c r="G206" s="14"/>
    </row>
    <row r="207">
      <c r="A207" s="74"/>
      <c r="B207" s="14"/>
      <c r="C207" s="14"/>
      <c r="D207" s="14"/>
      <c r="E207" s="14"/>
      <c r="F207" s="14"/>
      <c r="G207" s="14"/>
    </row>
    <row r="208">
      <c r="A208" s="74"/>
      <c r="B208" s="14"/>
      <c r="C208" s="14"/>
      <c r="D208" s="14"/>
      <c r="E208" s="14"/>
      <c r="F208" s="14"/>
      <c r="G208" s="14"/>
    </row>
    <row r="209">
      <c r="A209" s="74"/>
      <c r="B209" s="14"/>
      <c r="C209" s="14"/>
      <c r="D209" s="14"/>
      <c r="E209" s="14"/>
      <c r="F209" s="14"/>
      <c r="G209" s="14"/>
    </row>
    <row r="210">
      <c r="A210" s="74"/>
      <c r="B210" s="14"/>
      <c r="C210" s="14"/>
      <c r="D210" s="14"/>
      <c r="E210" s="14"/>
      <c r="F210" s="14"/>
      <c r="G210" s="14"/>
    </row>
    <row r="211">
      <c r="A211" s="74"/>
      <c r="B211" s="14"/>
      <c r="C211" s="14"/>
      <c r="D211" s="14"/>
      <c r="E211" s="14"/>
      <c r="F211" s="14"/>
      <c r="G211" s="14"/>
    </row>
    <row r="212">
      <c r="A212" s="74"/>
      <c r="B212" s="14"/>
      <c r="C212" s="14"/>
      <c r="D212" s="14"/>
      <c r="E212" s="14"/>
      <c r="F212" s="14"/>
      <c r="G212" s="14"/>
    </row>
    <row r="213">
      <c r="A213" s="74"/>
      <c r="B213" s="14"/>
      <c r="C213" s="14"/>
      <c r="D213" s="14"/>
      <c r="E213" s="14"/>
      <c r="F213" s="14"/>
      <c r="G213" s="14"/>
    </row>
    <row r="214">
      <c r="A214" s="74"/>
      <c r="B214" s="14"/>
      <c r="C214" s="14"/>
      <c r="D214" s="14"/>
      <c r="E214" s="14"/>
      <c r="F214" s="14"/>
      <c r="G214" s="14"/>
    </row>
    <row r="215">
      <c r="A215" s="74"/>
      <c r="B215" s="14"/>
      <c r="C215" s="14"/>
      <c r="D215" s="14"/>
      <c r="E215" s="14"/>
      <c r="F215" s="14"/>
      <c r="G215" s="14"/>
    </row>
    <row r="216">
      <c r="A216" s="74"/>
      <c r="B216" s="14"/>
      <c r="C216" s="14"/>
      <c r="D216" s="14"/>
      <c r="E216" s="14"/>
      <c r="F216" s="14"/>
      <c r="G216" s="14"/>
    </row>
    <row r="217">
      <c r="A217" s="74"/>
      <c r="B217" s="14"/>
      <c r="C217" s="14"/>
      <c r="D217" s="14"/>
      <c r="E217" s="14"/>
      <c r="F217" s="14"/>
      <c r="G217" s="14"/>
    </row>
    <row r="218">
      <c r="A218" s="74"/>
      <c r="B218" s="14"/>
      <c r="C218" s="14"/>
      <c r="D218" s="14"/>
      <c r="E218" s="14"/>
      <c r="F218" s="14"/>
      <c r="G218" s="14"/>
    </row>
    <row r="219">
      <c r="A219" s="74"/>
      <c r="B219" s="14"/>
      <c r="C219" s="14"/>
      <c r="D219" s="14"/>
      <c r="E219" s="14"/>
      <c r="F219" s="14"/>
      <c r="G219" s="14"/>
    </row>
    <row r="220">
      <c r="A220" s="74"/>
      <c r="B220" s="14"/>
      <c r="C220" s="14"/>
      <c r="D220" s="14"/>
      <c r="E220" s="14"/>
      <c r="F220" s="14"/>
      <c r="G220" s="14"/>
    </row>
    <row r="221">
      <c r="A221" s="74"/>
      <c r="B221" s="14"/>
      <c r="C221" s="14"/>
      <c r="D221" s="14"/>
      <c r="E221" s="14"/>
      <c r="F221" s="14"/>
      <c r="G221" s="14"/>
    </row>
    <row r="222">
      <c r="A222" s="74"/>
      <c r="B222" s="14"/>
      <c r="C222" s="14"/>
      <c r="D222" s="14"/>
      <c r="E222" s="14"/>
      <c r="F222" s="14"/>
      <c r="G222" s="14"/>
    </row>
    <row r="223">
      <c r="A223" s="74"/>
      <c r="B223" s="14"/>
      <c r="C223" s="14"/>
      <c r="D223" s="14"/>
      <c r="E223" s="14"/>
      <c r="F223" s="14"/>
      <c r="G223" s="14"/>
    </row>
    <row r="224">
      <c r="A224" s="74"/>
      <c r="B224" s="14"/>
      <c r="C224" s="14"/>
      <c r="D224" s="14"/>
      <c r="E224" s="14"/>
      <c r="F224" s="14"/>
      <c r="G224" s="14"/>
    </row>
    <row r="225">
      <c r="A225" s="74"/>
      <c r="B225" s="14"/>
      <c r="C225" s="14"/>
      <c r="D225" s="14"/>
      <c r="E225" s="14"/>
      <c r="F225" s="14"/>
      <c r="G225" s="14"/>
    </row>
    <row r="226">
      <c r="A226" s="74"/>
      <c r="B226" s="14"/>
      <c r="C226" s="14"/>
      <c r="D226" s="14"/>
      <c r="E226" s="14"/>
      <c r="F226" s="14"/>
      <c r="G226" s="14"/>
    </row>
    <row r="227">
      <c r="A227" s="74"/>
      <c r="B227" s="14"/>
      <c r="C227" s="14"/>
      <c r="D227" s="14"/>
      <c r="E227" s="14"/>
      <c r="F227" s="14"/>
      <c r="G227" s="14"/>
    </row>
    <row r="228">
      <c r="A228" s="74"/>
      <c r="B228" s="14"/>
      <c r="C228" s="14"/>
      <c r="D228" s="14"/>
      <c r="E228" s="14"/>
      <c r="F228" s="14"/>
      <c r="G228" s="14"/>
    </row>
    <row r="229">
      <c r="A229" s="74"/>
      <c r="B229" s="14"/>
      <c r="C229" s="14"/>
      <c r="D229" s="14"/>
      <c r="E229" s="14"/>
      <c r="F229" s="14"/>
      <c r="G229" s="14"/>
    </row>
    <row r="230">
      <c r="A230" s="74"/>
      <c r="B230" s="14"/>
      <c r="C230" s="14"/>
      <c r="D230" s="14"/>
      <c r="E230" s="14"/>
      <c r="F230" s="14"/>
      <c r="G230" s="14"/>
    </row>
    <row r="231">
      <c r="A231" s="74"/>
      <c r="B231" s="14"/>
      <c r="C231" s="14"/>
      <c r="D231" s="14"/>
      <c r="E231" s="14"/>
      <c r="F231" s="14"/>
      <c r="G231" s="14"/>
    </row>
    <row r="232">
      <c r="A232" s="74"/>
      <c r="B232" s="14"/>
      <c r="C232" s="14"/>
      <c r="D232" s="14"/>
      <c r="E232" s="14"/>
      <c r="F232" s="14"/>
      <c r="G232" s="14"/>
    </row>
    <row r="233">
      <c r="A233" s="74"/>
      <c r="B233" s="14"/>
      <c r="C233" s="14"/>
      <c r="D233" s="14"/>
      <c r="E233" s="14"/>
      <c r="F233" s="14"/>
      <c r="G233" s="14"/>
    </row>
    <row r="234">
      <c r="A234" s="74"/>
      <c r="B234" s="14"/>
      <c r="C234" s="14"/>
      <c r="D234" s="14"/>
      <c r="E234" s="14"/>
      <c r="F234" s="14"/>
      <c r="G234" s="14"/>
    </row>
    <row r="235">
      <c r="A235" s="74"/>
      <c r="B235" s="14"/>
      <c r="C235" s="14"/>
      <c r="D235" s="14"/>
      <c r="E235" s="14"/>
      <c r="F235" s="14"/>
      <c r="G235" s="14"/>
    </row>
    <row r="236">
      <c r="A236" s="74"/>
      <c r="B236" s="14"/>
      <c r="C236" s="14"/>
      <c r="D236" s="14"/>
      <c r="E236" s="14"/>
      <c r="F236" s="14"/>
      <c r="G236" s="14"/>
    </row>
    <row r="237">
      <c r="A237" s="74"/>
      <c r="B237" s="14"/>
      <c r="C237" s="14"/>
      <c r="D237" s="14"/>
      <c r="E237" s="14"/>
      <c r="F237" s="14"/>
      <c r="G237" s="14"/>
    </row>
    <row r="238">
      <c r="A238" s="74"/>
      <c r="B238" s="14"/>
      <c r="C238" s="14"/>
      <c r="D238" s="14"/>
      <c r="E238" s="14"/>
      <c r="F238" s="14"/>
      <c r="G238" s="14"/>
    </row>
    <row r="239">
      <c r="A239" s="74"/>
      <c r="B239" s="14"/>
      <c r="C239" s="14"/>
      <c r="D239" s="14"/>
      <c r="E239" s="14"/>
      <c r="F239" s="14"/>
      <c r="G239" s="14"/>
    </row>
    <row r="240">
      <c r="A240" s="74"/>
      <c r="B240" s="14"/>
      <c r="C240" s="14"/>
      <c r="D240" s="14"/>
      <c r="E240" s="14"/>
      <c r="F240" s="14"/>
      <c r="G240" s="14"/>
    </row>
    <row r="241">
      <c r="A241" s="74"/>
      <c r="B241" s="14"/>
      <c r="C241" s="14"/>
      <c r="D241" s="14"/>
      <c r="E241" s="14"/>
      <c r="F241" s="14"/>
      <c r="G241" s="14"/>
    </row>
    <row r="242">
      <c r="A242" s="74"/>
      <c r="B242" s="14"/>
      <c r="C242" s="14"/>
      <c r="D242" s="14"/>
      <c r="E242" s="14"/>
      <c r="F242" s="14"/>
      <c r="G242" s="14"/>
    </row>
    <row r="243">
      <c r="A243" s="74"/>
      <c r="B243" s="14"/>
      <c r="C243" s="14"/>
      <c r="D243" s="14"/>
      <c r="E243" s="14"/>
      <c r="F243" s="14"/>
      <c r="G243" s="14"/>
    </row>
    <row r="244">
      <c r="A244" s="74"/>
      <c r="B244" s="14"/>
      <c r="C244" s="14"/>
      <c r="D244" s="14"/>
      <c r="E244" s="14"/>
      <c r="F244" s="14"/>
      <c r="G244" s="14"/>
    </row>
    <row r="245">
      <c r="A245" s="74"/>
      <c r="B245" s="14"/>
      <c r="C245" s="14"/>
      <c r="D245" s="14"/>
      <c r="E245" s="14"/>
      <c r="F245" s="14"/>
      <c r="G245" s="14"/>
    </row>
    <row r="246">
      <c r="A246" s="74"/>
      <c r="B246" s="14"/>
      <c r="C246" s="14"/>
      <c r="D246" s="14"/>
      <c r="E246" s="14"/>
      <c r="F246" s="14"/>
      <c r="G246" s="14"/>
    </row>
    <row r="247">
      <c r="A247" s="74"/>
      <c r="B247" s="14"/>
      <c r="C247" s="14"/>
      <c r="D247" s="14"/>
      <c r="E247" s="14"/>
      <c r="F247" s="14"/>
      <c r="G247" s="14"/>
    </row>
    <row r="248">
      <c r="A248" s="74"/>
      <c r="B248" s="14"/>
      <c r="C248" s="14"/>
      <c r="D248" s="14"/>
      <c r="E248" s="14"/>
      <c r="F248" s="14"/>
      <c r="G248" s="14"/>
    </row>
    <row r="249">
      <c r="A249" s="74"/>
      <c r="B249" s="14"/>
      <c r="C249" s="14"/>
      <c r="D249" s="14"/>
      <c r="E249" s="14"/>
      <c r="F249" s="14"/>
      <c r="G249" s="14"/>
    </row>
    <row r="250">
      <c r="A250" s="74"/>
      <c r="B250" s="14"/>
      <c r="C250" s="14"/>
      <c r="D250" s="14"/>
      <c r="E250" s="14"/>
      <c r="F250" s="14"/>
      <c r="G250" s="14"/>
    </row>
    <row r="251">
      <c r="A251" s="74"/>
      <c r="B251" s="14"/>
      <c r="C251" s="14"/>
      <c r="D251" s="14"/>
      <c r="E251" s="14"/>
      <c r="F251" s="14"/>
      <c r="G251" s="14"/>
    </row>
    <row r="252">
      <c r="A252" s="74"/>
      <c r="B252" s="14"/>
      <c r="C252" s="14"/>
      <c r="D252" s="14"/>
      <c r="E252" s="14"/>
      <c r="F252" s="14"/>
      <c r="G252" s="14"/>
    </row>
    <row r="253">
      <c r="A253" s="74"/>
      <c r="B253" s="14"/>
      <c r="C253" s="14"/>
      <c r="D253" s="14"/>
      <c r="E253" s="14"/>
      <c r="F253" s="14"/>
      <c r="G253" s="14"/>
    </row>
    <row r="254">
      <c r="A254" s="74"/>
      <c r="B254" s="14"/>
      <c r="C254" s="14"/>
      <c r="D254" s="14"/>
      <c r="E254" s="14"/>
      <c r="F254" s="14"/>
      <c r="G254" s="14"/>
    </row>
    <row r="255">
      <c r="A255" s="74"/>
      <c r="B255" s="14"/>
      <c r="C255" s="14"/>
      <c r="D255" s="14"/>
      <c r="E255" s="14"/>
      <c r="F255" s="14"/>
      <c r="G255" s="14"/>
    </row>
    <row r="256">
      <c r="A256" s="74"/>
      <c r="B256" s="14"/>
      <c r="C256" s="14"/>
      <c r="D256" s="14"/>
      <c r="E256" s="14"/>
      <c r="F256" s="14"/>
      <c r="G256" s="14"/>
    </row>
    <row r="257">
      <c r="A257" s="74"/>
      <c r="B257" s="14"/>
      <c r="C257" s="14"/>
      <c r="D257" s="14"/>
      <c r="E257" s="14"/>
      <c r="F257" s="14"/>
      <c r="G257" s="14"/>
    </row>
    <row r="258">
      <c r="A258" s="74"/>
      <c r="B258" s="14"/>
      <c r="C258" s="14"/>
      <c r="D258" s="14"/>
      <c r="E258" s="14"/>
      <c r="F258" s="14"/>
      <c r="G258" s="14"/>
    </row>
    <row r="259">
      <c r="A259" s="74"/>
      <c r="B259" s="14"/>
      <c r="C259" s="14"/>
      <c r="D259" s="14"/>
      <c r="E259" s="14"/>
      <c r="F259" s="14"/>
      <c r="G259" s="14"/>
    </row>
    <row r="260">
      <c r="A260" s="74"/>
      <c r="B260" s="14"/>
      <c r="C260" s="14"/>
      <c r="D260" s="14"/>
      <c r="E260" s="14"/>
      <c r="F260" s="14"/>
      <c r="G260" s="14"/>
    </row>
    <row r="261">
      <c r="A261" s="74"/>
      <c r="B261" s="14"/>
      <c r="C261" s="14"/>
      <c r="D261" s="14"/>
      <c r="E261" s="14"/>
      <c r="F261" s="14"/>
      <c r="G261" s="14"/>
    </row>
    <row r="262">
      <c r="A262" s="74"/>
      <c r="B262" s="14"/>
      <c r="C262" s="14"/>
      <c r="D262" s="14"/>
      <c r="E262" s="14"/>
      <c r="F262" s="14"/>
      <c r="G262" s="14"/>
    </row>
    <row r="263">
      <c r="A263" s="74"/>
      <c r="B263" s="14"/>
      <c r="C263" s="14"/>
      <c r="D263" s="14"/>
      <c r="E263" s="14"/>
      <c r="F263" s="14"/>
      <c r="G263" s="14"/>
    </row>
    <row r="264">
      <c r="A264" s="74"/>
      <c r="B264" s="14"/>
      <c r="C264" s="14"/>
      <c r="D264" s="14"/>
      <c r="E264" s="14"/>
      <c r="F264" s="14"/>
      <c r="G264" s="14"/>
    </row>
    <row r="265">
      <c r="A265" s="74"/>
      <c r="B265" s="14"/>
      <c r="C265" s="14"/>
      <c r="D265" s="14"/>
      <c r="E265" s="14"/>
      <c r="F265" s="14"/>
      <c r="G265" s="14"/>
    </row>
    <row r="266">
      <c r="A266" s="74"/>
      <c r="B266" s="14"/>
      <c r="C266" s="14"/>
      <c r="D266" s="14"/>
      <c r="E266" s="14"/>
      <c r="F266" s="14"/>
      <c r="G266" s="14"/>
    </row>
    <row r="267">
      <c r="A267" s="74"/>
      <c r="B267" s="14"/>
      <c r="C267" s="14"/>
      <c r="D267" s="14"/>
      <c r="E267" s="14"/>
      <c r="F267" s="14"/>
      <c r="G267" s="14"/>
    </row>
    <row r="268">
      <c r="A268" s="74"/>
      <c r="B268" s="14"/>
      <c r="C268" s="14"/>
      <c r="D268" s="14"/>
      <c r="E268" s="14"/>
      <c r="F268" s="14"/>
      <c r="G268" s="14"/>
    </row>
    <row r="269">
      <c r="A269" s="74"/>
      <c r="B269" s="14"/>
      <c r="C269" s="14"/>
      <c r="D269" s="14"/>
      <c r="E269" s="14"/>
      <c r="F269" s="14"/>
      <c r="G269" s="14"/>
    </row>
    <row r="270">
      <c r="A270" s="74"/>
      <c r="B270" s="14"/>
      <c r="C270" s="14"/>
      <c r="D270" s="14"/>
      <c r="E270" s="14"/>
      <c r="F270" s="14"/>
      <c r="G270" s="14"/>
    </row>
    <row r="271">
      <c r="A271" s="74"/>
      <c r="B271" s="14"/>
      <c r="C271" s="14"/>
      <c r="D271" s="14"/>
      <c r="E271" s="14"/>
      <c r="F271" s="14"/>
      <c r="G271" s="14"/>
    </row>
    <row r="272">
      <c r="A272" s="74"/>
      <c r="B272" s="14"/>
      <c r="C272" s="14"/>
      <c r="D272" s="14"/>
      <c r="E272" s="14"/>
      <c r="F272" s="14"/>
      <c r="G272" s="14"/>
    </row>
    <row r="273">
      <c r="A273" s="74"/>
      <c r="B273" s="14"/>
      <c r="C273" s="14"/>
      <c r="D273" s="14"/>
      <c r="E273" s="14"/>
      <c r="F273" s="14"/>
      <c r="G273" s="14"/>
    </row>
    <row r="274">
      <c r="A274" s="74"/>
      <c r="B274" s="14"/>
      <c r="C274" s="14"/>
      <c r="D274" s="14"/>
      <c r="E274" s="14"/>
      <c r="F274" s="14"/>
      <c r="G274" s="14"/>
    </row>
    <row r="275">
      <c r="A275" s="74"/>
      <c r="B275" s="14"/>
      <c r="C275" s="14"/>
      <c r="D275" s="14"/>
      <c r="E275" s="14"/>
      <c r="F275" s="14"/>
      <c r="G275" s="14"/>
    </row>
    <row r="276">
      <c r="A276" s="74"/>
      <c r="B276" s="14"/>
      <c r="C276" s="14"/>
      <c r="D276" s="14"/>
      <c r="E276" s="14"/>
      <c r="F276" s="14"/>
      <c r="G276" s="14"/>
    </row>
    <row r="277">
      <c r="A277" s="74"/>
      <c r="B277" s="14"/>
      <c r="C277" s="14"/>
      <c r="D277" s="14"/>
      <c r="E277" s="14"/>
      <c r="F277" s="14"/>
      <c r="G277" s="14"/>
    </row>
    <row r="278">
      <c r="A278" s="74"/>
      <c r="B278" s="14"/>
      <c r="C278" s="14"/>
      <c r="D278" s="14"/>
      <c r="E278" s="14"/>
      <c r="F278" s="14"/>
      <c r="G278" s="14"/>
    </row>
    <row r="279">
      <c r="A279" s="74"/>
      <c r="B279" s="14"/>
      <c r="C279" s="14"/>
      <c r="D279" s="14"/>
      <c r="E279" s="14"/>
      <c r="F279" s="14"/>
      <c r="G279" s="14"/>
    </row>
    <row r="280">
      <c r="A280" s="74"/>
      <c r="B280" s="14"/>
      <c r="C280" s="14"/>
      <c r="D280" s="14"/>
      <c r="E280" s="14"/>
      <c r="F280" s="14"/>
      <c r="G280" s="14"/>
    </row>
    <row r="281">
      <c r="A281" s="74"/>
      <c r="B281" s="14"/>
      <c r="C281" s="14"/>
      <c r="D281" s="14"/>
      <c r="E281" s="14"/>
      <c r="F281" s="14"/>
      <c r="G281" s="14"/>
    </row>
    <row r="282">
      <c r="A282" s="74"/>
      <c r="B282" s="14"/>
      <c r="C282" s="14"/>
      <c r="D282" s="14"/>
      <c r="E282" s="14"/>
      <c r="F282" s="14"/>
      <c r="G282" s="14"/>
    </row>
    <row r="283">
      <c r="A283" s="74"/>
      <c r="B283" s="14"/>
      <c r="C283" s="14"/>
      <c r="D283" s="14"/>
      <c r="E283" s="14"/>
      <c r="F283" s="14"/>
      <c r="G283" s="14"/>
    </row>
    <row r="284">
      <c r="A284" s="74"/>
      <c r="B284" s="14"/>
      <c r="C284" s="14"/>
      <c r="D284" s="14"/>
      <c r="E284" s="14"/>
      <c r="F284" s="14"/>
      <c r="G284" s="14"/>
    </row>
    <row r="285">
      <c r="A285" s="74"/>
      <c r="B285" s="14"/>
      <c r="C285" s="14"/>
      <c r="D285" s="14"/>
      <c r="E285" s="14"/>
      <c r="F285" s="14"/>
      <c r="G285" s="14"/>
    </row>
    <row r="286">
      <c r="A286" s="74"/>
      <c r="B286" s="14"/>
      <c r="C286" s="14"/>
      <c r="D286" s="14"/>
      <c r="E286" s="14"/>
      <c r="F286" s="14"/>
      <c r="G286" s="14"/>
    </row>
    <row r="287">
      <c r="A287" s="74"/>
      <c r="B287" s="14"/>
      <c r="C287" s="14"/>
      <c r="D287" s="14"/>
      <c r="E287" s="14"/>
      <c r="F287" s="14"/>
      <c r="G287" s="14"/>
    </row>
    <row r="288">
      <c r="A288" s="74"/>
      <c r="B288" s="14"/>
      <c r="C288" s="14"/>
      <c r="D288" s="14"/>
      <c r="E288" s="14"/>
      <c r="F288" s="14"/>
      <c r="G288" s="14"/>
    </row>
    <row r="289">
      <c r="A289" s="74"/>
      <c r="B289" s="14"/>
      <c r="C289" s="14"/>
      <c r="D289" s="14"/>
      <c r="E289" s="14"/>
      <c r="F289" s="14"/>
      <c r="G289" s="14"/>
    </row>
    <row r="290">
      <c r="A290" s="74"/>
      <c r="B290" s="14"/>
      <c r="C290" s="14"/>
      <c r="D290" s="14"/>
      <c r="E290" s="14"/>
      <c r="F290" s="14"/>
      <c r="G290" s="14"/>
    </row>
    <row r="291">
      <c r="A291" s="74"/>
      <c r="B291" s="14"/>
      <c r="C291" s="14"/>
      <c r="D291" s="14"/>
      <c r="E291" s="14"/>
      <c r="F291" s="14"/>
      <c r="G291" s="14"/>
    </row>
    <row r="292">
      <c r="A292" s="74"/>
      <c r="B292" s="14"/>
      <c r="C292" s="14"/>
      <c r="D292" s="14"/>
      <c r="E292" s="14"/>
      <c r="F292" s="14"/>
      <c r="G292" s="14"/>
    </row>
    <row r="293">
      <c r="A293" s="74"/>
      <c r="B293" s="14"/>
      <c r="C293" s="14"/>
      <c r="D293" s="14"/>
      <c r="E293" s="14"/>
      <c r="F293" s="14"/>
      <c r="G293" s="14"/>
    </row>
    <row r="294">
      <c r="A294" s="74"/>
      <c r="B294" s="14"/>
      <c r="C294" s="14"/>
      <c r="D294" s="14"/>
      <c r="E294" s="14"/>
      <c r="F294" s="14"/>
      <c r="G294" s="14"/>
    </row>
    <row r="295">
      <c r="A295" s="74"/>
      <c r="B295" s="14"/>
      <c r="C295" s="14"/>
      <c r="D295" s="14"/>
      <c r="E295" s="14"/>
      <c r="F295" s="14"/>
      <c r="G295" s="14"/>
    </row>
    <row r="296">
      <c r="A296" s="74"/>
      <c r="B296" s="14"/>
      <c r="C296" s="14"/>
      <c r="D296" s="14"/>
      <c r="E296" s="14"/>
      <c r="F296" s="14"/>
      <c r="G296" s="14"/>
    </row>
    <row r="297">
      <c r="A297" s="74"/>
      <c r="B297" s="14"/>
      <c r="C297" s="14"/>
      <c r="D297" s="14"/>
      <c r="E297" s="14"/>
      <c r="F297" s="14"/>
      <c r="G297" s="14"/>
    </row>
    <row r="298">
      <c r="A298" s="74"/>
      <c r="B298" s="14"/>
      <c r="C298" s="14"/>
      <c r="D298" s="14"/>
      <c r="E298" s="14"/>
      <c r="F298" s="14"/>
      <c r="G298" s="14"/>
    </row>
    <row r="299">
      <c r="A299" s="74"/>
      <c r="B299" s="14"/>
      <c r="C299" s="14"/>
      <c r="D299" s="14"/>
      <c r="E299" s="14"/>
      <c r="F299" s="14"/>
      <c r="G299" s="14"/>
    </row>
    <row r="300">
      <c r="A300" s="74"/>
      <c r="B300" s="14"/>
      <c r="C300" s="14"/>
      <c r="D300" s="14"/>
      <c r="E300" s="14"/>
      <c r="F300" s="14"/>
      <c r="G300" s="14"/>
    </row>
    <row r="301">
      <c r="A301" s="74"/>
      <c r="B301" s="14"/>
      <c r="C301" s="14"/>
      <c r="D301" s="14"/>
      <c r="E301" s="14"/>
      <c r="F301" s="14"/>
      <c r="G301" s="14"/>
    </row>
    <row r="302">
      <c r="A302" s="74"/>
      <c r="B302" s="14"/>
      <c r="C302" s="14"/>
      <c r="D302" s="14"/>
      <c r="E302" s="14"/>
      <c r="F302" s="14"/>
      <c r="G302" s="14"/>
    </row>
    <row r="303">
      <c r="A303" s="74"/>
      <c r="B303" s="14"/>
      <c r="C303" s="14"/>
      <c r="D303" s="14"/>
      <c r="E303" s="14"/>
      <c r="F303" s="14"/>
      <c r="G303" s="14"/>
    </row>
    <row r="304">
      <c r="A304" s="74"/>
      <c r="B304" s="14"/>
      <c r="C304" s="14"/>
      <c r="D304" s="14"/>
      <c r="E304" s="14"/>
      <c r="F304" s="14"/>
      <c r="G304" s="14"/>
    </row>
    <row r="305">
      <c r="A305" s="74"/>
      <c r="B305" s="14"/>
      <c r="C305" s="14"/>
      <c r="D305" s="14"/>
      <c r="E305" s="14"/>
      <c r="F305" s="14"/>
      <c r="G305" s="14"/>
    </row>
    <row r="306">
      <c r="A306" s="74"/>
      <c r="B306" s="14"/>
      <c r="C306" s="14"/>
      <c r="D306" s="14"/>
      <c r="E306" s="14"/>
      <c r="F306" s="14"/>
      <c r="G306" s="14"/>
    </row>
    <row r="307">
      <c r="A307" s="74"/>
      <c r="B307" s="14"/>
      <c r="C307" s="14"/>
      <c r="D307" s="14"/>
      <c r="E307" s="14"/>
      <c r="F307" s="14"/>
      <c r="G307" s="14"/>
    </row>
    <row r="308">
      <c r="A308" s="74"/>
      <c r="B308" s="14"/>
      <c r="C308" s="14"/>
      <c r="D308" s="14"/>
      <c r="E308" s="14"/>
      <c r="F308" s="14"/>
      <c r="G308" s="14"/>
    </row>
    <row r="309">
      <c r="A309" s="74"/>
      <c r="B309" s="14"/>
      <c r="C309" s="14"/>
      <c r="D309" s="14"/>
      <c r="E309" s="14"/>
      <c r="F309" s="14"/>
      <c r="G309" s="14"/>
    </row>
    <row r="310">
      <c r="A310" s="74"/>
      <c r="B310" s="14"/>
      <c r="C310" s="14"/>
      <c r="D310" s="14"/>
      <c r="E310" s="14"/>
      <c r="F310" s="14"/>
      <c r="G310" s="14"/>
    </row>
    <row r="311">
      <c r="A311" s="74"/>
      <c r="B311" s="14"/>
      <c r="C311" s="14"/>
      <c r="D311" s="14"/>
      <c r="E311" s="14"/>
      <c r="F311" s="14"/>
      <c r="G311" s="14"/>
    </row>
    <row r="312">
      <c r="A312" s="74"/>
      <c r="B312" s="14"/>
      <c r="C312" s="14"/>
      <c r="D312" s="14"/>
      <c r="E312" s="14"/>
      <c r="F312" s="14"/>
      <c r="G312" s="14"/>
    </row>
    <row r="313">
      <c r="A313" s="74"/>
      <c r="B313" s="14"/>
      <c r="C313" s="14"/>
      <c r="D313" s="14"/>
      <c r="E313" s="14"/>
      <c r="F313" s="14"/>
      <c r="G313" s="14"/>
    </row>
    <row r="314">
      <c r="A314" s="74"/>
      <c r="B314" s="14"/>
      <c r="C314" s="14"/>
      <c r="D314" s="14"/>
      <c r="E314" s="14"/>
      <c r="F314" s="14"/>
      <c r="G314" s="14"/>
    </row>
    <row r="315">
      <c r="A315" s="74"/>
      <c r="B315" s="14"/>
      <c r="C315" s="14"/>
      <c r="D315" s="14"/>
      <c r="E315" s="14"/>
      <c r="F315" s="14"/>
      <c r="G315" s="14"/>
    </row>
    <row r="316">
      <c r="A316" s="74"/>
      <c r="B316" s="14"/>
      <c r="C316" s="14"/>
      <c r="D316" s="14"/>
      <c r="E316" s="14"/>
      <c r="F316" s="14"/>
      <c r="G316" s="14"/>
    </row>
    <row r="317">
      <c r="A317" s="74"/>
      <c r="B317" s="14"/>
      <c r="C317" s="14"/>
      <c r="D317" s="14"/>
      <c r="E317" s="14"/>
      <c r="F317" s="14"/>
      <c r="G317" s="14"/>
    </row>
    <row r="318">
      <c r="A318" s="74"/>
      <c r="B318" s="14"/>
      <c r="C318" s="14"/>
      <c r="D318" s="14"/>
      <c r="E318" s="14"/>
      <c r="F318" s="14"/>
      <c r="G318" s="14"/>
    </row>
    <row r="319">
      <c r="A319" s="74"/>
      <c r="B319" s="14"/>
      <c r="C319" s="14"/>
      <c r="D319" s="14"/>
      <c r="E319" s="14"/>
      <c r="F319" s="14"/>
      <c r="G319" s="14"/>
    </row>
    <row r="320">
      <c r="A320" s="74"/>
      <c r="B320" s="14"/>
      <c r="C320" s="14"/>
      <c r="D320" s="14"/>
      <c r="E320" s="14"/>
      <c r="F320" s="14"/>
      <c r="G320" s="14"/>
    </row>
    <row r="321">
      <c r="A321" s="74"/>
      <c r="B321" s="14"/>
      <c r="C321" s="14"/>
      <c r="D321" s="14"/>
      <c r="E321" s="14"/>
      <c r="F321" s="14"/>
      <c r="G321" s="14"/>
    </row>
    <row r="322">
      <c r="A322" s="74"/>
      <c r="B322" s="14"/>
      <c r="C322" s="14"/>
      <c r="D322" s="14"/>
      <c r="E322" s="14"/>
      <c r="F322" s="14"/>
      <c r="G322" s="14"/>
    </row>
    <row r="323">
      <c r="A323" s="74"/>
      <c r="B323" s="14"/>
      <c r="C323" s="14"/>
      <c r="D323" s="14"/>
      <c r="E323" s="14"/>
      <c r="F323" s="14"/>
      <c r="G323" s="14"/>
    </row>
    <row r="324">
      <c r="A324" s="74"/>
      <c r="B324" s="14"/>
      <c r="C324" s="14"/>
      <c r="D324" s="14"/>
      <c r="E324" s="14"/>
      <c r="F324" s="14"/>
      <c r="G324" s="14"/>
    </row>
    <row r="325">
      <c r="A325" s="74"/>
      <c r="B325" s="14"/>
      <c r="C325" s="14"/>
      <c r="D325" s="14"/>
      <c r="E325" s="14"/>
      <c r="F325" s="14"/>
      <c r="G325" s="14"/>
    </row>
    <row r="326">
      <c r="A326" s="74"/>
      <c r="B326" s="14"/>
      <c r="C326" s="14"/>
      <c r="D326" s="14"/>
      <c r="E326" s="14"/>
      <c r="F326" s="14"/>
      <c r="G326" s="14"/>
    </row>
    <row r="327">
      <c r="A327" s="74"/>
      <c r="B327" s="14"/>
      <c r="C327" s="14"/>
      <c r="D327" s="14"/>
      <c r="E327" s="14"/>
      <c r="F327" s="14"/>
      <c r="G327" s="14"/>
    </row>
    <row r="328">
      <c r="A328" s="74"/>
      <c r="B328" s="14"/>
      <c r="C328" s="14"/>
      <c r="D328" s="14"/>
      <c r="E328" s="14"/>
      <c r="F328" s="14"/>
      <c r="G328" s="14"/>
    </row>
    <row r="329">
      <c r="A329" s="74"/>
      <c r="B329" s="14"/>
      <c r="C329" s="14"/>
      <c r="D329" s="14"/>
      <c r="E329" s="14"/>
      <c r="F329" s="14"/>
      <c r="G329" s="14"/>
    </row>
    <row r="330">
      <c r="A330" s="74"/>
      <c r="B330" s="14"/>
      <c r="C330" s="14"/>
      <c r="D330" s="14"/>
      <c r="E330" s="14"/>
      <c r="F330" s="14"/>
      <c r="G330" s="14"/>
    </row>
    <row r="331">
      <c r="A331" s="74"/>
      <c r="B331" s="14"/>
      <c r="C331" s="14"/>
      <c r="D331" s="14"/>
      <c r="E331" s="14"/>
      <c r="F331" s="14"/>
      <c r="G331" s="14"/>
    </row>
    <row r="332">
      <c r="A332" s="74"/>
      <c r="B332" s="14"/>
      <c r="C332" s="14"/>
      <c r="D332" s="14"/>
      <c r="E332" s="14"/>
      <c r="F332" s="14"/>
      <c r="G332" s="14"/>
    </row>
    <row r="333">
      <c r="A333" s="74"/>
      <c r="B333" s="14"/>
      <c r="C333" s="14"/>
      <c r="D333" s="14"/>
      <c r="E333" s="14"/>
      <c r="F333" s="14"/>
      <c r="G333" s="14"/>
    </row>
    <row r="334">
      <c r="A334" s="74"/>
      <c r="B334" s="14"/>
      <c r="C334" s="14"/>
      <c r="D334" s="14"/>
      <c r="E334" s="14"/>
      <c r="F334" s="14"/>
      <c r="G334" s="14"/>
    </row>
    <row r="335">
      <c r="A335" s="74"/>
      <c r="B335" s="14"/>
      <c r="C335" s="14"/>
      <c r="D335" s="14"/>
      <c r="E335" s="14"/>
      <c r="F335" s="14"/>
      <c r="G335" s="14"/>
    </row>
    <row r="336">
      <c r="A336" s="74"/>
      <c r="B336" s="14"/>
      <c r="C336" s="14"/>
      <c r="D336" s="14"/>
      <c r="E336" s="14"/>
      <c r="F336" s="14"/>
      <c r="G336" s="14"/>
    </row>
    <row r="337">
      <c r="A337" s="74"/>
      <c r="B337" s="14"/>
      <c r="C337" s="14"/>
      <c r="D337" s="14"/>
      <c r="E337" s="14"/>
      <c r="F337" s="14"/>
      <c r="G337" s="14"/>
    </row>
    <row r="338">
      <c r="A338" s="74"/>
      <c r="B338" s="14"/>
      <c r="C338" s="14"/>
      <c r="D338" s="14"/>
      <c r="E338" s="14"/>
      <c r="F338" s="14"/>
      <c r="G338" s="14"/>
    </row>
    <row r="339">
      <c r="A339" s="74"/>
      <c r="B339" s="14"/>
      <c r="C339" s="14"/>
      <c r="D339" s="14"/>
      <c r="E339" s="14"/>
      <c r="F339" s="14"/>
      <c r="G339" s="14"/>
    </row>
    <row r="340">
      <c r="A340" s="74"/>
      <c r="B340" s="14"/>
      <c r="C340" s="14"/>
      <c r="D340" s="14"/>
      <c r="E340" s="14"/>
      <c r="F340" s="14"/>
      <c r="G340" s="14"/>
    </row>
    <row r="341">
      <c r="A341" s="74"/>
      <c r="B341" s="14"/>
      <c r="C341" s="14"/>
      <c r="D341" s="14"/>
      <c r="E341" s="14"/>
      <c r="F341" s="14"/>
      <c r="G341" s="14"/>
    </row>
    <row r="342">
      <c r="A342" s="74"/>
      <c r="B342" s="14"/>
      <c r="C342" s="14"/>
      <c r="D342" s="14"/>
      <c r="E342" s="14"/>
      <c r="F342" s="14"/>
      <c r="G342" s="14"/>
    </row>
    <row r="343">
      <c r="A343" s="74"/>
      <c r="B343" s="14"/>
      <c r="C343" s="14"/>
      <c r="D343" s="14"/>
      <c r="E343" s="14"/>
      <c r="F343" s="14"/>
      <c r="G343" s="14"/>
    </row>
    <row r="344">
      <c r="A344" s="74"/>
      <c r="B344" s="14"/>
      <c r="C344" s="14"/>
      <c r="D344" s="14"/>
      <c r="E344" s="14"/>
      <c r="F344" s="14"/>
      <c r="G344" s="14"/>
    </row>
    <row r="345">
      <c r="A345" s="74"/>
      <c r="B345" s="14"/>
      <c r="C345" s="14"/>
      <c r="D345" s="14"/>
      <c r="E345" s="14"/>
      <c r="F345" s="14"/>
      <c r="G345" s="14"/>
    </row>
    <row r="346">
      <c r="A346" s="74"/>
      <c r="B346" s="14"/>
      <c r="C346" s="14"/>
      <c r="D346" s="14"/>
      <c r="E346" s="14"/>
      <c r="F346" s="14"/>
      <c r="G346" s="14"/>
    </row>
    <row r="347">
      <c r="A347" s="74"/>
      <c r="B347" s="14"/>
      <c r="C347" s="14"/>
      <c r="D347" s="14"/>
      <c r="E347" s="14"/>
      <c r="F347" s="14"/>
      <c r="G347" s="14"/>
    </row>
    <row r="348">
      <c r="A348" s="74"/>
      <c r="B348" s="14"/>
      <c r="C348" s="14"/>
      <c r="D348" s="14"/>
      <c r="E348" s="14"/>
      <c r="F348" s="14"/>
      <c r="G348" s="14"/>
    </row>
    <row r="349">
      <c r="A349" s="74"/>
      <c r="B349" s="14"/>
      <c r="C349" s="14"/>
      <c r="D349" s="14"/>
      <c r="E349" s="14"/>
      <c r="F349" s="14"/>
      <c r="G349" s="14"/>
    </row>
    <row r="350">
      <c r="A350" s="74"/>
      <c r="B350" s="14"/>
      <c r="C350" s="14"/>
      <c r="D350" s="14"/>
      <c r="E350" s="14"/>
      <c r="F350" s="14"/>
      <c r="G350" s="14"/>
    </row>
    <row r="351">
      <c r="A351" s="74"/>
      <c r="B351" s="14"/>
      <c r="C351" s="14"/>
      <c r="D351" s="14"/>
      <c r="E351" s="14"/>
      <c r="F351" s="14"/>
      <c r="G351" s="14"/>
    </row>
    <row r="352">
      <c r="A352" s="74"/>
      <c r="B352" s="14"/>
      <c r="C352" s="14"/>
      <c r="D352" s="14"/>
      <c r="E352" s="14"/>
      <c r="F352" s="14"/>
      <c r="G352" s="14"/>
    </row>
    <row r="353">
      <c r="A353" s="74"/>
      <c r="B353" s="14"/>
      <c r="C353" s="14"/>
      <c r="D353" s="14"/>
      <c r="E353" s="14"/>
      <c r="F353" s="14"/>
      <c r="G353" s="14"/>
    </row>
    <row r="354">
      <c r="A354" s="74"/>
      <c r="B354" s="14"/>
      <c r="C354" s="14"/>
      <c r="D354" s="14"/>
      <c r="E354" s="14"/>
      <c r="F354" s="14"/>
      <c r="G354" s="14"/>
    </row>
    <row r="355">
      <c r="A355" s="74"/>
      <c r="B355" s="14"/>
      <c r="C355" s="14"/>
      <c r="D355" s="14"/>
      <c r="E355" s="14"/>
      <c r="F355" s="14"/>
      <c r="G355" s="14"/>
    </row>
    <row r="356">
      <c r="A356" s="74"/>
      <c r="B356" s="14"/>
      <c r="C356" s="14"/>
      <c r="D356" s="14"/>
      <c r="E356" s="14"/>
      <c r="F356" s="14"/>
      <c r="G356" s="14"/>
    </row>
    <row r="357">
      <c r="A357" s="74"/>
      <c r="B357" s="14"/>
      <c r="C357" s="14"/>
      <c r="D357" s="14"/>
      <c r="E357" s="14"/>
      <c r="F357" s="14"/>
      <c r="G357" s="14"/>
    </row>
    <row r="358">
      <c r="A358" s="74"/>
      <c r="B358" s="14"/>
      <c r="C358" s="14"/>
      <c r="D358" s="14"/>
      <c r="E358" s="14"/>
      <c r="F358" s="14"/>
      <c r="G358" s="14"/>
    </row>
    <row r="359">
      <c r="A359" s="74"/>
      <c r="B359" s="14"/>
      <c r="C359" s="14"/>
      <c r="D359" s="14"/>
      <c r="E359" s="14"/>
      <c r="F359" s="14"/>
      <c r="G359" s="14"/>
    </row>
    <row r="360">
      <c r="A360" s="74"/>
      <c r="B360" s="14"/>
      <c r="C360" s="14"/>
      <c r="D360" s="14"/>
      <c r="E360" s="14"/>
      <c r="F360" s="14"/>
      <c r="G360" s="14"/>
    </row>
    <row r="361">
      <c r="A361" s="74"/>
      <c r="B361" s="14"/>
      <c r="C361" s="14"/>
      <c r="D361" s="14"/>
      <c r="E361" s="14"/>
      <c r="F361" s="14"/>
      <c r="G361" s="14"/>
    </row>
    <row r="362">
      <c r="A362" s="74"/>
      <c r="B362" s="14"/>
      <c r="C362" s="14"/>
      <c r="D362" s="14"/>
      <c r="E362" s="14"/>
      <c r="F362" s="14"/>
      <c r="G362" s="14"/>
    </row>
    <row r="363">
      <c r="A363" s="74"/>
      <c r="B363" s="14"/>
      <c r="C363" s="14"/>
      <c r="D363" s="14"/>
      <c r="E363" s="14"/>
      <c r="F363" s="14"/>
      <c r="G363" s="14"/>
    </row>
    <row r="364">
      <c r="A364" s="74"/>
      <c r="B364" s="14"/>
      <c r="C364" s="14"/>
      <c r="D364" s="14"/>
      <c r="E364" s="14"/>
      <c r="F364" s="14"/>
      <c r="G364" s="14"/>
    </row>
    <row r="365">
      <c r="A365" s="74"/>
      <c r="B365" s="14"/>
      <c r="C365" s="14"/>
      <c r="D365" s="14"/>
      <c r="E365" s="14"/>
      <c r="F365" s="14"/>
      <c r="G365" s="14"/>
    </row>
    <row r="366">
      <c r="A366" s="74"/>
      <c r="B366" s="14"/>
      <c r="C366" s="14"/>
      <c r="D366" s="14"/>
      <c r="E366" s="14"/>
      <c r="F366" s="14"/>
      <c r="G366" s="14"/>
    </row>
    <row r="367">
      <c r="A367" s="74"/>
      <c r="B367" s="14"/>
      <c r="C367" s="14"/>
      <c r="D367" s="14"/>
      <c r="E367" s="14"/>
      <c r="F367" s="14"/>
      <c r="G367" s="14"/>
    </row>
    <row r="368">
      <c r="A368" s="74"/>
      <c r="B368" s="14"/>
      <c r="C368" s="14"/>
      <c r="D368" s="14"/>
      <c r="E368" s="14"/>
      <c r="F368" s="14"/>
      <c r="G368" s="14"/>
    </row>
    <row r="369">
      <c r="A369" s="74"/>
      <c r="B369" s="14"/>
      <c r="C369" s="14"/>
      <c r="D369" s="14"/>
      <c r="E369" s="14"/>
      <c r="F369" s="14"/>
      <c r="G369" s="14"/>
    </row>
    <row r="370">
      <c r="A370" s="74"/>
      <c r="B370" s="14"/>
      <c r="C370" s="14"/>
      <c r="D370" s="14"/>
      <c r="E370" s="14"/>
      <c r="F370" s="14"/>
      <c r="G370" s="14"/>
    </row>
    <row r="371">
      <c r="A371" s="74"/>
      <c r="B371" s="14"/>
      <c r="C371" s="14"/>
      <c r="D371" s="14"/>
      <c r="E371" s="14"/>
      <c r="F371" s="14"/>
      <c r="G371" s="14"/>
    </row>
    <row r="372">
      <c r="A372" s="74"/>
      <c r="B372" s="14"/>
      <c r="C372" s="14"/>
      <c r="D372" s="14"/>
      <c r="E372" s="14"/>
      <c r="F372" s="14"/>
      <c r="G372" s="14"/>
    </row>
    <row r="373">
      <c r="A373" s="74"/>
      <c r="B373" s="14"/>
      <c r="C373" s="14"/>
      <c r="D373" s="14"/>
      <c r="E373" s="14"/>
      <c r="F373" s="14"/>
      <c r="G373" s="14"/>
    </row>
    <row r="374">
      <c r="A374" s="74"/>
      <c r="B374" s="14"/>
      <c r="C374" s="14"/>
      <c r="D374" s="14"/>
      <c r="E374" s="14"/>
      <c r="F374" s="14"/>
      <c r="G374" s="14"/>
    </row>
    <row r="375">
      <c r="A375" s="74"/>
      <c r="B375" s="14"/>
      <c r="C375" s="14"/>
      <c r="D375" s="14"/>
      <c r="E375" s="14"/>
      <c r="F375" s="14"/>
      <c r="G375" s="14"/>
    </row>
    <row r="376">
      <c r="A376" s="74"/>
      <c r="B376" s="14"/>
      <c r="C376" s="14"/>
      <c r="D376" s="14"/>
      <c r="E376" s="14"/>
      <c r="F376" s="14"/>
      <c r="G376" s="14"/>
    </row>
    <row r="377">
      <c r="A377" s="74"/>
      <c r="B377" s="14"/>
      <c r="C377" s="14"/>
      <c r="D377" s="14"/>
      <c r="E377" s="14"/>
      <c r="F377" s="14"/>
      <c r="G377" s="14"/>
    </row>
    <row r="378">
      <c r="A378" s="74"/>
      <c r="B378" s="14"/>
      <c r="C378" s="14"/>
      <c r="D378" s="14"/>
      <c r="E378" s="14"/>
      <c r="F378" s="14"/>
      <c r="G378" s="14"/>
    </row>
    <row r="379">
      <c r="A379" s="74"/>
      <c r="B379" s="14"/>
      <c r="C379" s="14"/>
      <c r="D379" s="14"/>
      <c r="E379" s="14"/>
      <c r="F379" s="14"/>
      <c r="G379" s="14"/>
    </row>
    <row r="380">
      <c r="A380" s="74"/>
      <c r="B380" s="14"/>
      <c r="C380" s="14"/>
      <c r="D380" s="14"/>
      <c r="E380" s="14"/>
      <c r="F380" s="14"/>
      <c r="G380" s="14"/>
    </row>
    <row r="381">
      <c r="A381" s="74"/>
      <c r="B381" s="14"/>
      <c r="C381" s="14"/>
      <c r="D381" s="14"/>
      <c r="E381" s="14"/>
      <c r="F381" s="14"/>
      <c r="G381" s="14"/>
    </row>
    <row r="382">
      <c r="A382" s="74"/>
      <c r="B382" s="14"/>
      <c r="C382" s="14"/>
      <c r="D382" s="14"/>
      <c r="E382" s="14"/>
      <c r="F382" s="14"/>
      <c r="G382" s="14"/>
    </row>
    <row r="383">
      <c r="A383" s="74"/>
      <c r="B383" s="14"/>
      <c r="C383" s="14"/>
      <c r="D383" s="14"/>
      <c r="E383" s="14"/>
      <c r="F383" s="14"/>
      <c r="G383" s="14"/>
    </row>
    <row r="384">
      <c r="A384" s="74"/>
      <c r="B384" s="14"/>
      <c r="C384" s="14"/>
      <c r="D384" s="14"/>
      <c r="E384" s="14"/>
      <c r="F384" s="14"/>
      <c r="G384" s="14"/>
    </row>
    <row r="385">
      <c r="A385" s="74"/>
      <c r="B385" s="14"/>
      <c r="C385" s="14"/>
      <c r="D385" s="14"/>
      <c r="E385" s="14"/>
      <c r="F385" s="14"/>
      <c r="G385" s="14"/>
    </row>
    <row r="386">
      <c r="A386" s="74"/>
      <c r="B386" s="14"/>
      <c r="C386" s="14"/>
      <c r="D386" s="14"/>
      <c r="E386" s="14"/>
      <c r="F386" s="14"/>
      <c r="G386" s="14"/>
    </row>
    <row r="387">
      <c r="A387" s="74"/>
      <c r="B387" s="14"/>
      <c r="C387" s="14"/>
      <c r="D387" s="14"/>
      <c r="E387" s="14"/>
      <c r="F387" s="14"/>
      <c r="G387" s="14"/>
    </row>
    <row r="388">
      <c r="A388" s="74"/>
      <c r="B388" s="14"/>
      <c r="C388" s="14"/>
      <c r="D388" s="14"/>
      <c r="E388" s="14"/>
      <c r="F388" s="14"/>
      <c r="G388" s="14"/>
    </row>
    <row r="389">
      <c r="A389" s="74"/>
      <c r="B389" s="14"/>
      <c r="C389" s="14"/>
      <c r="D389" s="14"/>
      <c r="E389" s="14"/>
      <c r="F389" s="14"/>
      <c r="G389" s="14"/>
    </row>
    <row r="390">
      <c r="A390" s="74"/>
      <c r="B390" s="14"/>
      <c r="C390" s="14"/>
      <c r="D390" s="14"/>
      <c r="E390" s="14"/>
      <c r="F390" s="14"/>
      <c r="G390" s="14"/>
    </row>
    <row r="391">
      <c r="A391" s="74"/>
      <c r="B391" s="14"/>
      <c r="C391" s="14"/>
      <c r="D391" s="14"/>
      <c r="E391" s="14"/>
      <c r="F391" s="14"/>
      <c r="G391" s="14"/>
    </row>
    <row r="392">
      <c r="A392" s="74"/>
      <c r="B392" s="14"/>
      <c r="C392" s="14"/>
      <c r="D392" s="14"/>
      <c r="E392" s="14"/>
      <c r="F392" s="14"/>
      <c r="G392" s="14"/>
    </row>
    <row r="393">
      <c r="A393" s="74"/>
      <c r="B393" s="14"/>
      <c r="C393" s="14"/>
      <c r="D393" s="14"/>
      <c r="E393" s="14"/>
      <c r="F393" s="14"/>
      <c r="G393" s="14"/>
    </row>
    <row r="394">
      <c r="A394" s="74"/>
      <c r="B394" s="14"/>
      <c r="C394" s="14"/>
      <c r="D394" s="14"/>
      <c r="E394" s="14"/>
      <c r="F394" s="14"/>
      <c r="G394" s="14"/>
    </row>
    <row r="395">
      <c r="A395" s="74"/>
      <c r="B395" s="14"/>
      <c r="C395" s="14"/>
      <c r="D395" s="14"/>
      <c r="E395" s="14"/>
      <c r="F395" s="14"/>
      <c r="G395" s="14"/>
    </row>
    <row r="396">
      <c r="A396" s="74"/>
      <c r="B396" s="14"/>
      <c r="C396" s="14"/>
      <c r="D396" s="14"/>
      <c r="E396" s="14"/>
      <c r="F396" s="14"/>
      <c r="G396" s="14"/>
    </row>
    <row r="397">
      <c r="A397" s="74"/>
      <c r="B397" s="14"/>
      <c r="C397" s="14"/>
      <c r="D397" s="14"/>
      <c r="E397" s="14"/>
      <c r="F397" s="14"/>
      <c r="G397" s="14"/>
    </row>
    <row r="398">
      <c r="A398" s="74"/>
      <c r="B398" s="14"/>
      <c r="C398" s="14"/>
      <c r="D398" s="14"/>
      <c r="E398" s="14"/>
      <c r="F398" s="14"/>
      <c r="G398" s="14"/>
    </row>
    <row r="399">
      <c r="A399" s="74"/>
      <c r="B399" s="14"/>
      <c r="C399" s="14"/>
      <c r="D399" s="14"/>
      <c r="E399" s="14"/>
      <c r="F399" s="14"/>
      <c r="G399" s="14"/>
    </row>
    <row r="400">
      <c r="A400" s="74"/>
      <c r="B400" s="14"/>
      <c r="C400" s="14"/>
      <c r="D400" s="14"/>
      <c r="E400" s="14"/>
      <c r="F400" s="14"/>
      <c r="G400" s="14"/>
    </row>
    <row r="401">
      <c r="A401" s="74"/>
      <c r="B401" s="14"/>
      <c r="C401" s="14"/>
      <c r="D401" s="14"/>
      <c r="E401" s="14"/>
      <c r="F401" s="14"/>
      <c r="G401" s="14"/>
    </row>
    <row r="402">
      <c r="A402" s="74"/>
      <c r="B402" s="14"/>
      <c r="C402" s="14"/>
      <c r="D402" s="14"/>
      <c r="E402" s="14"/>
      <c r="F402" s="14"/>
      <c r="G402" s="14"/>
    </row>
    <row r="403">
      <c r="A403" s="74"/>
      <c r="B403" s="14"/>
      <c r="C403" s="14"/>
      <c r="D403" s="14"/>
      <c r="E403" s="14"/>
      <c r="F403" s="14"/>
      <c r="G403" s="14"/>
    </row>
    <row r="404">
      <c r="A404" s="74"/>
      <c r="B404" s="14"/>
      <c r="C404" s="14"/>
      <c r="D404" s="14"/>
      <c r="E404" s="14"/>
      <c r="F404" s="14"/>
      <c r="G404" s="14"/>
    </row>
    <row r="405">
      <c r="A405" s="74"/>
      <c r="B405" s="14"/>
      <c r="C405" s="14"/>
      <c r="D405" s="14"/>
      <c r="E405" s="14"/>
      <c r="F405" s="14"/>
      <c r="G405" s="14"/>
    </row>
    <row r="406">
      <c r="A406" s="74"/>
      <c r="B406" s="14"/>
      <c r="C406" s="14"/>
      <c r="D406" s="14"/>
      <c r="E406" s="14"/>
      <c r="F406" s="14"/>
      <c r="G406" s="14"/>
    </row>
    <row r="407">
      <c r="A407" s="74"/>
      <c r="B407" s="14"/>
      <c r="C407" s="14"/>
      <c r="D407" s="14"/>
      <c r="E407" s="14"/>
      <c r="F407" s="14"/>
      <c r="G407" s="14"/>
    </row>
    <row r="408">
      <c r="A408" s="74"/>
      <c r="B408" s="14"/>
      <c r="C408" s="14"/>
      <c r="D408" s="14"/>
      <c r="E408" s="14"/>
      <c r="F408" s="14"/>
      <c r="G408" s="14"/>
    </row>
    <row r="409">
      <c r="A409" s="74"/>
      <c r="B409" s="14"/>
      <c r="C409" s="14"/>
      <c r="D409" s="14"/>
      <c r="E409" s="14"/>
      <c r="F409" s="14"/>
      <c r="G409" s="14"/>
    </row>
    <row r="410">
      <c r="A410" s="74"/>
      <c r="B410" s="14"/>
      <c r="C410" s="14"/>
      <c r="D410" s="14"/>
      <c r="E410" s="14"/>
      <c r="F410" s="14"/>
      <c r="G410" s="14"/>
    </row>
    <row r="411">
      <c r="A411" s="74"/>
      <c r="B411" s="14"/>
      <c r="C411" s="14"/>
      <c r="D411" s="14"/>
      <c r="E411" s="14"/>
      <c r="F411" s="14"/>
      <c r="G411" s="14"/>
    </row>
    <row r="412">
      <c r="A412" s="74"/>
      <c r="B412" s="14"/>
      <c r="C412" s="14"/>
      <c r="D412" s="14"/>
      <c r="E412" s="14"/>
      <c r="F412" s="14"/>
      <c r="G412" s="14"/>
    </row>
    <row r="413">
      <c r="A413" s="74"/>
      <c r="B413" s="14"/>
      <c r="C413" s="14"/>
      <c r="D413" s="14"/>
      <c r="E413" s="14"/>
      <c r="F413" s="14"/>
      <c r="G413" s="14"/>
    </row>
    <row r="414">
      <c r="A414" s="74"/>
      <c r="B414" s="14"/>
      <c r="C414" s="14"/>
      <c r="D414" s="14"/>
      <c r="E414" s="14"/>
      <c r="F414" s="14"/>
      <c r="G414" s="14"/>
    </row>
    <row r="415">
      <c r="A415" s="74"/>
      <c r="B415" s="14"/>
      <c r="C415" s="14"/>
      <c r="D415" s="14"/>
      <c r="E415" s="14"/>
      <c r="F415" s="14"/>
      <c r="G415" s="14"/>
    </row>
    <row r="416">
      <c r="A416" s="74"/>
      <c r="B416" s="14"/>
      <c r="C416" s="14"/>
      <c r="D416" s="14"/>
      <c r="E416" s="14"/>
      <c r="F416" s="14"/>
      <c r="G416" s="14"/>
    </row>
    <row r="417">
      <c r="A417" s="74"/>
      <c r="B417" s="14"/>
      <c r="C417" s="14"/>
      <c r="D417" s="14"/>
      <c r="E417" s="14"/>
      <c r="F417" s="14"/>
      <c r="G417" s="14"/>
    </row>
    <row r="418">
      <c r="A418" s="74"/>
      <c r="B418" s="14"/>
      <c r="C418" s="14"/>
      <c r="D418" s="14"/>
      <c r="E418" s="14"/>
      <c r="F418" s="14"/>
      <c r="G418" s="14"/>
    </row>
    <row r="419">
      <c r="A419" s="74"/>
      <c r="B419" s="14"/>
      <c r="C419" s="14"/>
      <c r="D419" s="14"/>
      <c r="E419" s="14"/>
      <c r="F419" s="14"/>
      <c r="G419" s="14"/>
    </row>
    <row r="420">
      <c r="A420" s="74"/>
      <c r="B420" s="14"/>
      <c r="C420" s="14"/>
      <c r="D420" s="14"/>
      <c r="E420" s="14"/>
      <c r="F420" s="14"/>
      <c r="G420" s="14"/>
    </row>
    <row r="421">
      <c r="A421" s="74"/>
      <c r="B421" s="14"/>
      <c r="C421" s="14"/>
      <c r="D421" s="14"/>
      <c r="E421" s="14"/>
      <c r="F421" s="14"/>
      <c r="G421" s="14"/>
    </row>
    <row r="422">
      <c r="A422" s="74"/>
      <c r="B422" s="14"/>
      <c r="C422" s="14"/>
      <c r="D422" s="14"/>
      <c r="E422" s="14"/>
      <c r="F422" s="14"/>
      <c r="G422" s="14"/>
    </row>
    <row r="423">
      <c r="A423" s="74"/>
      <c r="B423" s="14"/>
      <c r="C423" s="14"/>
      <c r="D423" s="14"/>
      <c r="E423" s="14"/>
      <c r="F423" s="14"/>
      <c r="G423" s="14"/>
    </row>
    <row r="424">
      <c r="A424" s="74"/>
      <c r="B424" s="14"/>
      <c r="C424" s="14"/>
      <c r="D424" s="14"/>
      <c r="E424" s="14"/>
      <c r="F424" s="14"/>
      <c r="G424" s="14"/>
    </row>
    <row r="425">
      <c r="A425" s="74"/>
      <c r="B425" s="14"/>
      <c r="C425" s="14"/>
      <c r="D425" s="14"/>
      <c r="E425" s="14"/>
      <c r="F425" s="14"/>
      <c r="G425" s="14"/>
    </row>
    <row r="426">
      <c r="A426" s="74"/>
      <c r="B426" s="14"/>
      <c r="C426" s="14"/>
      <c r="D426" s="14"/>
      <c r="E426" s="14"/>
      <c r="F426" s="14"/>
      <c r="G426" s="14"/>
    </row>
    <row r="427">
      <c r="A427" s="74"/>
      <c r="B427" s="14"/>
      <c r="C427" s="14"/>
      <c r="D427" s="14"/>
      <c r="E427" s="14"/>
      <c r="F427" s="14"/>
      <c r="G427" s="14"/>
    </row>
    <row r="428">
      <c r="A428" s="74"/>
      <c r="B428" s="14"/>
      <c r="C428" s="14"/>
      <c r="D428" s="14"/>
      <c r="E428" s="14"/>
      <c r="F428" s="14"/>
      <c r="G428" s="14"/>
    </row>
    <row r="429">
      <c r="A429" s="74"/>
      <c r="B429" s="14"/>
      <c r="C429" s="14"/>
      <c r="D429" s="14"/>
      <c r="E429" s="14"/>
      <c r="F429" s="14"/>
      <c r="G429" s="14"/>
    </row>
    <row r="430">
      <c r="A430" s="74"/>
      <c r="B430" s="14"/>
      <c r="C430" s="14"/>
      <c r="D430" s="14"/>
      <c r="E430" s="14"/>
      <c r="F430" s="14"/>
      <c r="G430" s="14"/>
    </row>
    <row r="431">
      <c r="A431" s="74"/>
      <c r="B431" s="14"/>
      <c r="C431" s="14"/>
      <c r="D431" s="14"/>
      <c r="E431" s="14"/>
      <c r="F431" s="14"/>
      <c r="G431" s="14"/>
    </row>
    <row r="432">
      <c r="A432" s="74"/>
      <c r="B432" s="14"/>
      <c r="C432" s="14"/>
      <c r="D432" s="14"/>
      <c r="E432" s="14"/>
      <c r="F432" s="14"/>
      <c r="G432" s="14"/>
    </row>
    <row r="433">
      <c r="A433" s="74"/>
      <c r="B433" s="14"/>
      <c r="C433" s="14"/>
      <c r="D433" s="14"/>
      <c r="E433" s="14"/>
      <c r="F433" s="14"/>
      <c r="G433" s="14"/>
    </row>
    <row r="434">
      <c r="A434" s="74"/>
      <c r="B434" s="14"/>
      <c r="C434" s="14"/>
      <c r="D434" s="14"/>
      <c r="E434" s="14"/>
      <c r="F434" s="14"/>
      <c r="G434" s="14"/>
    </row>
    <row r="435">
      <c r="A435" s="74"/>
      <c r="B435" s="14"/>
      <c r="C435" s="14"/>
      <c r="D435" s="14"/>
      <c r="E435" s="14"/>
      <c r="F435" s="14"/>
      <c r="G435" s="14"/>
    </row>
    <row r="436">
      <c r="A436" s="74"/>
      <c r="B436" s="14"/>
      <c r="C436" s="14"/>
      <c r="D436" s="14"/>
      <c r="E436" s="14"/>
      <c r="F436" s="14"/>
      <c r="G436" s="14"/>
    </row>
    <row r="437">
      <c r="A437" s="74"/>
      <c r="B437" s="14"/>
      <c r="C437" s="14"/>
      <c r="D437" s="14"/>
      <c r="E437" s="14"/>
      <c r="F437" s="14"/>
      <c r="G437" s="14"/>
    </row>
    <row r="438">
      <c r="A438" s="74"/>
      <c r="B438" s="14"/>
      <c r="C438" s="14"/>
      <c r="D438" s="14"/>
      <c r="E438" s="14"/>
      <c r="F438" s="14"/>
      <c r="G438" s="14"/>
    </row>
    <row r="439">
      <c r="A439" s="74"/>
      <c r="B439" s="14"/>
      <c r="C439" s="14"/>
      <c r="D439" s="14"/>
      <c r="E439" s="14"/>
      <c r="F439" s="14"/>
      <c r="G439" s="14"/>
    </row>
    <row r="440">
      <c r="A440" s="74"/>
      <c r="B440" s="14"/>
      <c r="C440" s="14"/>
      <c r="D440" s="14"/>
      <c r="E440" s="14"/>
      <c r="F440" s="14"/>
      <c r="G440" s="14"/>
    </row>
    <row r="441">
      <c r="A441" s="74"/>
      <c r="B441" s="14"/>
      <c r="C441" s="14"/>
      <c r="D441" s="14"/>
      <c r="E441" s="14"/>
      <c r="F441" s="14"/>
      <c r="G441" s="14"/>
    </row>
    <row r="442">
      <c r="A442" s="74"/>
      <c r="B442" s="14"/>
      <c r="C442" s="14"/>
      <c r="D442" s="14"/>
      <c r="E442" s="14"/>
      <c r="F442" s="14"/>
      <c r="G442" s="14"/>
    </row>
    <row r="443">
      <c r="A443" s="74"/>
      <c r="B443" s="14"/>
      <c r="C443" s="14"/>
      <c r="D443" s="14"/>
      <c r="E443" s="14"/>
      <c r="F443" s="14"/>
      <c r="G443" s="14"/>
    </row>
    <row r="444">
      <c r="A444" s="74"/>
      <c r="B444" s="14"/>
      <c r="C444" s="14"/>
      <c r="D444" s="14"/>
      <c r="E444" s="14"/>
      <c r="F444" s="14"/>
      <c r="G444" s="14"/>
    </row>
    <row r="445">
      <c r="A445" s="74"/>
      <c r="B445" s="14"/>
      <c r="C445" s="14"/>
      <c r="D445" s="14"/>
      <c r="E445" s="14"/>
      <c r="F445" s="14"/>
      <c r="G445" s="14"/>
    </row>
    <row r="446">
      <c r="A446" s="74"/>
      <c r="B446" s="14"/>
      <c r="C446" s="14"/>
      <c r="D446" s="14"/>
      <c r="E446" s="14"/>
      <c r="F446" s="14"/>
      <c r="G446" s="14"/>
    </row>
    <row r="447">
      <c r="A447" s="74"/>
      <c r="B447" s="14"/>
      <c r="C447" s="14"/>
      <c r="D447" s="14"/>
      <c r="E447" s="14"/>
      <c r="F447" s="14"/>
      <c r="G447" s="14"/>
    </row>
    <row r="448">
      <c r="A448" s="74"/>
      <c r="B448" s="14"/>
      <c r="C448" s="14"/>
      <c r="D448" s="14"/>
      <c r="E448" s="14"/>
      <c r="F448" s="14"/>
      <c r="G448" s="14"/>
    </row>
    <row r="449">
      <c r="A449" s="74"/>
      <c r="B449" s="14"/>
      <c r="C449" s="14"/>
      <c r="D449" s="14"/>
      <c r="E449" s="14"/>
      <c r="F449" s="14"/>
      <c r="G449" s="14"/>
    </row>
    <row r="450">
      <c r="A450" s="74"/>
      <c r="B450" s="14"/>
      <c r="C450" s="14"/>
      <c r="D450" s="14"/>
      <c r="E450" s="14"/>
      <c r="F450" s="14"/>
      <c r="G450" s="14"/>
    </row>
    <row r="451">
      <c r="A451" s="74"/>
      <c r="B451" s="14"/>
      <c r="C451" s="14"/>
      <c r="D451" s="14"/>
      <c r="E451" s="14"/>
      <c r="F451" s="14"/>
      <c r="G451" s="14"/>
    </row>
    <row r="452">
      <c r="A452" s="74"/>
      <c r="B452" s="14"/>
      <c r="C452" s="14"/>
      <c r="D452" s="14"/>
      <c r="E452" s="14"/>
      <c r="F452" s="14"/>
      <c r="G452" s="14"/>
    </row>
    <row r="453">
      <c r="A453" s="74"/>
      <c r="B453" s="14"/>
      <c r="C453" s="14"/>
      <c r="D453" s="14"/>
      <c r="E453" s="14"/>
      <c r="F453" s="14"/>
      <c r="G453" s="14"/>
    </row>
    <row r="454">
      <c r="A454" s="74"/>
      <c r="B454" s="14"/>
      <c r="C454" s="14"/>
      <c r="D454" s="14"/>
      <c r="E454" s="14"/>
      <c r="F454" s="14"/>
      <c r="G454" s="14"/>
    </row>
    <row r="455">
      <c r="A455" s="74"/>
      <c r="B455" s="14"/>
      <c r="C455" s="14"/>
      <c r="D455" s="14"/>
      <c r="E455" s="14"/>
      <c r="F455" s="14"/>
      <c r="G455" s="14"/>
    </row>
    <row r="456">
      <c r="A456" s="74"/>
      <c r="B456" s="14"/>
      <c r="C456" s="14"/>
      <c r="D456" s="14"/>
      <c r="E456" s="14"/>
      <c r="F456" s="14"/>
      <c r="G456" s="14"/>
    </row>
    <row r="457">
      <c r="A457" s="74"/>
      <c r="B457" s="14"/>
      <c r="C457" s="14"/>
      <c r="D457" s="14"/>
      <c r="E457" s="14"/>
      <c r="F457" s="14"/>
      <c r="G457" s="14"/>
    </row>
    <row r="458">
      <c r="A458" s="74"/>
      <c r="B458" s="14"/>
      <c r="C458" s="14"/>
      <c r="D458" s="14"/>
      <c r="E458" s="14"/>
      <c r="F458" s="14"/>
      <c r="G458" s="14"/>
    </row>
    <row r="459">
      <c r="A459" s="74"/>
      <c r="B459" s="14"/>
      <c r="C459" s="14"/>
      <c r="D459" s="14"/>
      <c r="E459" s="14"/>
      <c r="F459" s="14"/>
      <c r="G459" s="14"/>
    </row>
    <row r="460">
      <c r="A460" s="74"/>
      <c r="B460" s="14"/>
      <c r="C460" s="14"/>
      <c r="D460" s="14"/>
      <c r="E460" s="14"/>
      <c r="F460" s="14"/>
      <c r="G460" s="14"/>
    </row>
    <row r="461">
      <c r="A461" s="74"/>
      <c r="B461" s="14"/>
      <c r="C461" s="14"/>
      <c r="D461" s="14"/>
      <c r="E461" s="14"/>
      <c r="F461" s="14"/>
      <c r="G461" s="14"/>
    </row>
    <row r="462">
      <c r="A462" s="74"/>
      <c r="B462" s="14"/>
      <c r="C462" s="14"/>
      <c r="D462" s="14"/>
      <c r="E462" s="14"/>
      <c r="F462" s="14"/>
      <c r="G462" s="14"/>
    </row>
    <row r="463">
      <c r="A463" s="74"/>
      <c r="B463" s="14"/>
      <c r="C463" s="14"/>
      <c r="D463" s="14"/>
      <c r="E463" s="14"/>
      <c r="F463" s="14"/>
      <c r="G463" s="14"/>
    </row>
    <row r="464">
      <c r="A464" s="74"/>
      <c r="B464" s="14"/>
      <c r="C464" s="14"/>
      <c r="D464" s="14"/>
      <c r="E464" s="14"/>
      <c r="F464" s="14"/>
      <c r="G464" s="14"/>
    </row>
    <row r="465">
      <c r="A465" s="74"/>
      <c r="B465" s="14"/>
      <c r="C465" s="14"/>
      <c r="D465" s="14"/>
      <c r="E465" s="14"/>
      <c r="F465" s="14"/>
      <c r="G465" s="14"/>
    </row>
    <row r="466">
      <c r="A466" s="74"/>
      <c r="B466" s="14"/>
      <c r="C466" s="14"/>
      <c r="D466" s="14"/>
      <c r="E466" s="14"/>
      <c r="F466" s="14"/>
      <c r="G466" s="14"/>
    </row>
    <row r="467">
      <c r="A467" s="74"/>
      <c r="B467" s="14"/>
      <c r="C467" s="14"/>
      <c r="D467" s="14"/>
      <c r="E467" s="14"/>
      <c r="F467" s="14"/>
      <c r="G467" s="14"/>
    </row>
    <row r="468">
      <c r="A468" s="74"/>
      <c r="B468" s="14"/>
      <c r="C468" s="14"/>
      <c r="D468" s="14"/>
      <c r="E468" s="14"/>
      <c r="F468" s="14"/>
      <c r="G468" s="14"/>
    </row>
    <row r="469">
      <c r="A469" s="74"/>
      <c r="B469" s="14"/>
      <c r="C469" s="14"/>
      <c r="D469" s="14"/>
      <c r="E469" s="14"/>
      <c r="F469" s="14"/>
      <c r="G469" s="14"/>
    </row>
    <row r="470">
      <c r="A470" s="74"/>
      <c r="B470" s="14"/>
      <c r="C470" s="14"/>
      <c r="D470" s="14"/>
      <c r="E470" s="14"/>
      <c r="F470" s="14"/>
      <c r="G470" s="14"/>
    </row>
    <row r="471">
      <c r="A471" s="74"/>
      <c r="B471" s="14"/>
      <c r="C471" s="14"/>
      <c r="D471" s="14"/>
      <c r="E471" s="14"/>
      <c r="F471" s="14"/>
      <c r="G471" s="14"/>
    </row>
    <row r="472">
      <c r="A472" s="74"/>
      <c r="B472" s="14"/>
      <c r="C472" s="14"/>
      <c r="D472" s="14"/>
      <c r="E472" s="14"/>
      <c r="F472" s="14"/>
      <c r="G472" s="14"/>
    </row>
    <row r="473">
      <c r="A473" s="74"/>
      <c r="B473" s="14"/>
      <c r="C473" s="14"/>
      <c r="D473" s="14"/>
      <c r="E473" s="14"/>
      <c r="F473" s="14"/>
      <c r="G473" s="14"/>
    </row>
    <row r="474">
      <c r="A474" s="74"/>
      <c r="B474" s="14"/>
      <c r="C474" s="14"/>
      <c r="D474" s="14"/>
      <c r="E474" s="14"/>
      <c r="F474" s="14"/>
      <c r="G474" s="14"/>
    </row>
    <row r="475">
      <c r="A475" s="74"/>
      <c r="B475" s="14"/>
      <c r="C475" s="14"/>
      <c r="D475" s="14"/>
      <c r="E475" s="14"/>
      <c r="F475" s="14"/>
      <c r="G475" s="14"/>
    </row>
    <row r="476">
      <c r="A476" s="74"/>
      <c r="B476" s="14"/>
      <c r="C476" s="14"/>
      <c r="D476" s="14"/>
      <c r="E476" s="14"/>
      <c r="F476" s="14"/>
      <c r="G476" s="14"/>
    </row>
    <row r="477">
      <c r="A477" s="74"/>
      <c r="B477" s="14"/>
      <c r="C477" s="14"/>
      <c r="D477" s="14"/>
      <c r="E477" s="14"/>
      <c r="F477" s="14"/>
      <c r="G477" s="14"/>
    </row>
    <row r="478">
      <c r="A478" s="74"/>
      <c r="B478" s="14"/>
      <c r="C478" s="14"/>
      <c r="D478" s="14"/>
      <c r="E478" s="14"/>
      <c r="F478" s="14"/>
      <c r="G478" s="14"/>
    </row>
    <row r="479">
      <c r="A479" s="74"/>
      <c r="B479" s="14"/>
      <c r="C479" s="14"/>
      <c r="D479" s="14"/>
      <c r="E479" s="14"/>
      <c r="F479" s="14"/>
      <c r="G479" s="14"/>
    </row>
    <row r="480">
      <c r="A480" s="74"/>
      <c r="B480" s="14"/>
      <c r="C480" s="14"/>
      <c r="D480" s="14"/>
      <c r="E480" s="14"/>
      <c r="F480" s="14"/>
      <c r="G480" s="14"/>
    </row>
    <row r="481">
      <c r="A481" s="74"/>
      <c r="B481" s="14"/>
      <c r="C481" s="14"/>
      <c r="D481" s="14"/>
      <c r="E481" s="14"/>
      <c r="F481" s="14"/>
      <c r="G481" s="14"/>
    </row>
    <row r="482">
      <c r="A482" s="74"/>
      <c r="B482" s="14"/>
      <c r="C482" s="14"/>
      <c r="D482" s="14"/>
      <c r="E482" s="14"/>
      <c r="F482" s="14"/>
      <c r="G482" s="14"/>
    </row>
    <row r="483">
      <c r="A483" s="74"/>
      <c r="B483" s="14"/>
      <c r="C483" s="14"/>
      <c r="D483" s="14"/>
      <c r="E483" s="14"/>
      <c r="F483" s="14"/>
      <c r="G483" s="14"/>
    </row>
    <row r="484">
      <c r="A484" s="74"/>
      <c r="B484" s="14"/>
      <c r="C484" s="14"/>
      <c r="D484" s="14"/>
      <c r="E484" s="14"/>
      <c r="F484" s="14"/>
      <c r="G484" s="14"/>
    </row>
    <row r="485">
      <c r="A485" s="74"/>
      <c r="B485" s="14"/>
      <c r="C485" s="14"/>
      <c r="D485" s="14"/>
      <c r="E485" s="14"/>
      <c r="F485" s="14"/>
      <c r="G485" s="14"/>
    </row>
    <row r="486">
      <c r="A486" s="74"/>
      <c r="B486" s="14"/>
      <c r="C486" s="14"/>
      <c r="D486" s="14"/>
      <c r="E486" s="14"/>
      <c r="F486" s="14"/>
      <c r="G486" s="14"/>
    </row>
    <row r="487">
      <c r="A487" s="74"/>
      <c r="B487" s="14"/>
      <c r="C487" s="14"/>
      <c r="D487" s="14"/>
      <c r="E487" s="14"/>
      <c r="F487" s="14"/>
      <c r="G487" s="14"/>
    </row>
    <row r="488">
      <c r="A488" s="74"/>
      <c r="B488" s="14"/>
      <c r="C488" s="14"/>
      <c r="D488" s="14"/>
      <c r="E488" s="14"/>
      <c r="F488" s="14"/>
      <c r="G488" s="14"/>
    </row>
    <row r="489">
      <c r="A489" s="74"/>
      <c r="B489" s="14"/>
      <c r="C489" s="14"/>
      <c r="D489" s="14"/>
      <c r="E489" s="14"/>
      <c r="F489" s="14"/>
      <c r="G489" s="14"/>
    </row>
    <row r="490">
      <c r="A490" s="74"/>
      <c r="B490" s="14"/>
      <c r="C490" s="14"/>
      <c r="D490" s="14"/>
      <c r="E490" s="14"/>
      <c r="F490" s="14"/>
      <c r="G490" s="14"/>
    </row>
    <row r="491">
      <c r="A491" s="74"/>
      <c r="B491" s="14"/>
      <c r="C491" s="14"/>
      <c r="D491" s="14"/>
      <c r="E491" s="14"/>
      <c r="F491" s="14"/>
      <c r="G491" s="14"/>
    </row>
    <row r="492">
      <c r="A492" s="74"/>
      <c r="B492" s="14"/>
      <c r="C492" s="14"/>
      <c r="D492" s="14"/>
      <c r="E492" s="14"/>
      <c r="F492" s="14"/>
      <c r="G492" s="14"/>
    </row>
    <row r="493">
      <c r="A493" s="74"/>
      <c r="B493" s="14"/>
      <c r="C493" s="14"/>
      <c r="D493" s="14"/>
      <c r="E493" s="14"/>
      <c r="F493" s="14"/>
      <c r="G493" s="14"/>
    </row>
    <row r="494">
      <c r="A494" s="74"/>
      <c r="B494" s="14"/>
      <c r="C494" s="14"/>
      <c r="D494" s="14"/>
      <c r="E494" s="14"/>
      <c r="F494" s="14"/>
      <c r="G494" s="14"/>
    </row>
    <row r="495">
      <c r="A495" s="74"/>
      <c r="B495" s="14"/>
      <c r="C495" s="14"/>
      <c r="D495" s="14"/>
      <c r="E495" s="14"/>
      <c r="F495" s="14"/>
      <c r="G495" s="14"/>
    </row>
    <row r="496">
      <c r="A496" s="74"/>
      <c r="B496" s="14"/>
      <c r="C496" s="14"/>
      <c r="D496" s="14"/>
      <c r="E496" s="14"/>
      <c r="F496" s="14"/>
      <c r="G496" s="14"/>
    </row>
    <row r="497">
      <c r="A497" s="74"/>
      <c r="B497" s="14"/>
      <c r="C497" s="14"/>
      <c r="D497" s="14"/>
      <c r="E497" s="14"/>
      <c r="F497" s="14"/>
      <c r="G497" s="14"/>
    </row>
    <row r="498">
      <c r="A498" s="74"/>
      <c r="B498" s="14"/>
      <c r="C498" s="14"/>
      <c r="D498" s="14"/>
      <c r="E498" s="14"/>
      <c r="F498" s="14"/>
      <c r="G498" s="14"/>
    </row>
    <row r="499">
      <c r="A499" s="74"/>
      <c r="B499" s="14"/>
      <c r="C499" s="14"/>
      <c r="D499" s="14"/>
      <c r="E499" s="14"/>
      <c r="F499" s="14"/>
      <c r="G499" s="14"/>
    </row>
    <row r="500">
      <c r="A500" s="74"/>
      <c r="B500" s="14"/>
      <c r="C500" s="14"/>
      <c r="D500" s="14"/>
      <c r="E500" s="14"/>
      <c r="F500" s="14"/>
      <c r="G500" s="14"/>
    </row>
    <row r="501">
      <c r="A501" s="74"/>
      <c r="B501" s="14"/>
      <c r="C501" s="14"/>
      <c r="D501" s="14"/>
      <c r="E501" s="14"/>
      <c r="F501" s="14"/>
      <c r="G501" s="14"/>
    </row>
    <row r="502">
      <c r="A502" s="74"/>
      <c r="B502" s="14"/>
      <c r="C502" s="14"/>
      <c r="D502" s="14"/>
      <c r="E502" s="14"/>
      <c r="F502" s="14"/>
      <c r="G502" s="14"/>
    </row>
    <row r="503">
      <c r="A503" s="74"/>
      <c r="B503" s="14"/>
      <c r="C503" s="14"/>
      <c r="D503" s="14"/>
      <c r="E503" s="14"/>
      <c r="F503" s="14"/>
      <c r="G503" s="14"/>
    </row>
    <row r="504">
      <c r="A504" s="74"/>
      <c r="B504" s="14"/>
      <c r="C504" s="14"/>
      <c r="D504" s="14"/>
      <c r="E504" s="14"/>
      <c r="F504" s="14"/>
      <c r="G504" s="14"/>
    </row>
    <row r="505">
      <c r="A505" s="74"/>
      <c r="B505" s="14"/>
      <c r="C505" s="14"/>
      <c r="D505" s="14"/>
      <c r="E505" s="14"/>
      <c r="F505" s="14"/>
      <c r="G505" s="14"/>
    </row>
    <row r="506">
      <c r="A506" s="74"/>
      <c r="B506" s="14"/>
      <c r="C506" s="14"/>
      <c r="D506" s="14"/>
      <c r="E506" s="14"/>
      <c r="F506" s="14"/>
      <c r="G506" s="14"/>
    </row>
    <row r="507">
      <c r="A507" s="74"/>
      <c r="B507" s="14"/>
      <c r="C507" s="14"/>
      <c r="D507" s="14"/>
      <c r="E507" s="14"/>
      <c r="F507" s="14"/>
      <c r="G507" s="14"/>
    </row>
    <row r="508">
      <c r="A508" s="74"/>
      <c r="B508" s="14"/>
      <c r="C508" s="14"/>
      <c r="D508" s="14"/>
      <c r="E508" s="14"/>
      <c r="F508" s="14"/>
      <c r="G508" s="14"/>
    </row>
    <row r="509">
      <c r="A509" s="74"/>
      <c r="B509" s="14"/>
      <c r="C509" s="14"/>
      <c r="D509" s="14"/>
      <c r="E509" s="14"/>
      <c r="F509" s="14"/>
      <c r="G509" s="14"/>
    </row>
    <row r="510">
      <c r="A510" s="74"/>
      <c r="B510" s="14"/>
      <c r="C510" s="14"/>
      <c r="D510" s="14"/>
      <c r="E510" s="14"/>
      <c r="F510" s="14"/>
      <c r="G510" s="14"/>
    </row>
    <row r="511">
      <c r="A511" s="74"/>
      <c r="B511" s="14"/>
      <c r="C511" s="14"/>
      <c r="D511" s="14"/>
      <c r="E511" s="14"/>
      <c r="F511" s="14"/>
      <c r="G511" s="14"/>
    </row>
    <row r="512">
      <c r="A512" s="74"/>
      <c r="B512" s="14"/>
      <c r="C512" s="14"/>
      <c r="D512" s="14"/>
      <c r="E512" s="14"/>
      <c r="F512" s="14"/>
      <c r="G512" s="14"/>
    </row>
    <row r="513">
      <c r="A513" s="74"/>
      <c r="B513" s="14"/>
      <c r="C513" s="14"/>
      <c r="D513" s="14"/>
      <c r="E513" s="14"/>
      <c r="F513" s="14"/>
      <c r="G513" s="14"/>
    </row>
    <row r="514">
      <c r="A514" s="74"/>
      <c r="B514" s="14"/>
      <c r="C514" s="14"/>
      <c r="D514" s="14"/>
      <c r="E514" s="14"/>
      <c r="F514" s="14"/>
      <c r="G514" s="14"/>
    </row>
    <row r="515">
      <c r="A515" s="74"/>
      <c r="B515" s="14"/>
      <c r="C515" s="14"/>
      <c r="D515" s="14"/>
      <c r="E515" s="14"/>
      <c r="F515" s="14"/>
      <c r="G515" s="14"/>
    </row>
    <row r="516">
      <c r="A516" s="74"/>
      <c r="B516" s="14"/>
      <c r="C516" s="14"/>
      <c r="D516" s="14"/>
      <c r="E516" s="14"/>
      <c r="F516" s="14"/>
      <c r="G516" s="14"/>
    </row>
    <row r="517">
      <c r="A517" s="74"/>
      <c r="B517" s="14"/>
      <c r="C517" s="14"/>
      <c r="D517" s="14"/>
      <c r="E517" s="14"/>
      <c r="F517" s="14"/>
      <c r="G517" s="14"/>
    </row>
    <row r="518">
      <c r="A518" s="74"/>
      <c r="B518" s="14"/>
      <c r="C518" s="14"/>
      <c r="D518" s="14"/>
      <c r="E518" s="14"/>
      <c r="F518" s="14"/>
      <c r="G518" s="14"/>
    </row>
    <row r="519">
      <c r="A519" s="74"/>
      <c r="B519" s="14"/>
      <c r="C519" s="14"/>
      <c r="D519" s="14"/>
      <c r="E519" s="14"/>
      <c r="F519" s="14"/>
      <c r="G519" s="14"/>
    </row>
    <row r="520">
      <c r="A520" s="74"/>
      <c r="B520" s="14"/>
      <c r="C520" s="14"/>
      <c r="D520" s="14"/>
      <c r="E520" s="14"/>
      <c r="F520" s="14"/>
      <c r="G520" s="14"/>
    </row>
    <row r="521">
      <c r="A521" s="74"/>
      <c r="B521" s="14"/>
      <c r="C521" s="14"/>
      <c r="D521" s="14"/>
      <c r="E521" s="14"/>
      <c r="F521" s="14"/>
      <c r="G521" s="14"/>
    </row>
    <row r="522">
      <c r="A522" s="74"/>
      <c r="B522" s="14"/>
      <c r="C522" s="14"/>
      <c r="D522" s="14"/>
      <c r="E522" s="14"/>
      <c r="F522" s="14"/>
      <c r="G522" s="14"/>
    </row>
    <row r="523">
      <c r="A523" s="74"/>
      <c r="B523" s="14"/>
      <c r="C523" s="14"/>
      <c r="D523" s="14"/>
      <c r="E523" s="14"/>
      <c r="F523" s="14"/>
      <c r="G523" s="14"/>
    </row>
    <row r="524">
      <c r="A524" s="74"/>
      <c r="B524" s="14"/>
      <c r="C524" s="14"/>
      <c r="D524" s="14"/>
      <c r="E524" s="14"/>
      <c r="F524" s="14"/>
      <c r="G524" s="14"/>
    </row>
    <row r="525">
      <c r="A525" s="74"/>
      <c r="B525" s="14"/>
      <c r="C525" s="14"/>
      <c r="D525" s="14"/>
      <c r="E525" s="14"/>
      <c r="F525" s="14"/>
      <c r="G525" s="14"/>
    </row>
    <row r="526">
      <c r="A526" s="74"/>
      <c r="B526" s="14"/>
      <c r="C526" s="14"/>
      <c r="D526" s="14"/>
      <c r="E526" s="14"/>
      <c r="F526" s="14"/>
      <c r="G526" s="14"/>
    </row>
    <row r="527">
      <c r="A527" s="74"/>
      <c r="B527" s="14"/>
      <c r="C527" s="14"/>
      <c r="D527" s="14"/>
      <c r="E527" s="14"/>
      <c r="F527" s="14"/>
      <c r="G527" s="14"/>
    </row>
    <row r="528">
      <c r="A528" s="74"/>
      <c r="B528" s="14"/>
      <c r="C528" s="14"/>
      <c r="D528" s="14"/>
      <c r="E528" s="14"/>
      <c r="F528" s="14"/>
      <c r="G528" s="14"/>
    </row>
    <row r="529">
      <c r="A529" s="74"/>
      <c r="B529" s="14"/>
      <c r="C529" s="14"/>
      <c r="D529" s="14"/>
      <c r="E529" s="14"/>
      <c r="F529" s="14"/>
      <c r="G529" s="14"/>
    </row>
    <row r="530">
      <c r="A530" s="74"/>
      <c r="B530" s="14"/>
      <c r="C530" s="14"/>
      <c r="D530" s="14"/>
      <c r="E530" s="14"/>
      <c r="F530" s="14"/>
      <c r="G530" s="14"/>
    </row>
    <row r="531">
      <c r="A531" s="74"/>
      <c r="B531" s="14"/>
      <c r="C531" s="14"/>
      <c r="D531" s="14"/>
      <c r="E531" s="14"/>
      <c r="F531" s="14"/>
      <c r="G531" s="14"/>
    </row>
    <row r="532">
      <c r="A532" s="74"/>
      <c r="B532" s="14"/>
      <c r="C532" s="14"/>
      <c r="D532" s="14"/>
      <c r="E532" s="14"/>
      <c r="F532" s="14"/>
      <c r="G532" s="14"/>
    </row>
    <row r="533">
      <c r="A533" s="74"/>
      <c r="B533" s="14"/>
      <c r="C533" s="14"/>
      <c r="D533" s="14"/>
      <c r="E533" s="14"/>
      <c r="F533" s="14"/>
      <c r="G533" s="14"/>
    </row>
    <row r="534">
      <c r="A534" s="74"/>
      <c r="B534" s="14"/>
      <c r="C534" s="14"/>
      <c r="D534" s="14"/>
      <c r="E534" s="14"/>
      <c r="F534" s="14"/>
      <c r="G534" s="14"/>
    </row>
    <row r="535">
      <c r="A535" s="74"/>
      <c r="B535" s="14"/>
      <c r="C535" s="14"/>
      <c r="D535" s="14"/>
      <c r="E535" s="14"/>
      <c r="F535" s="14"/>
      <c r="G535" s="14"/>
    </row>
    <row r="536">
      <c r="A536" s="74"/>
      <c r="B536" s="14"/>
      <c r="C536" s="14"/>
      <c r="D536" s="14"/>
      <c r="E536" s="14"/>
      <c r="F536" s="14"/>
      <c r="G536" s="14"/>
    </row>
    <row r="537">
      <c r="A537" s="74"/>
      <c r="B537" s="14"/>
      <c r="C537" s="14"/>
      <c r="D537" s="14"/>
      <c r="E537" s="14"/>
      <c r="F537" s="14"/>
      <c r="G537" s="14"/>
    </row>
    <row r="538">
      <c r="A538" s="74"/>
      <c r="B538" s="14"/>
      <c r="C538" s="14"/>
      <c r="D538" s="14"/>
      <c r="E538" s="14"/>
      <c r="F538" s="14"/>
      <c r="G538" s="14"/>
    </row>
    <row r="539">
      <c r="A539" s="74"/>
      <c r="B539" s="14"/>
      <c r="C539" s="14"/>
      <c r="D539" s="14"/>
      <c r="E539" s="14"/>
      <c r="F539" s="14"/>
      <c r="G539" s="14"/>
    </row>
    <row r="540">
      <c r="A540" s="74"/>
      <c r="B540" s="14"/>
      <c r="C540" s="14"/>
      <c r="D540" s="14"/>
      <c r="E540" s="14"/>
      <c r="F540" s="14"/>
      <c r="G540" s="14"/>
    </row>
    <row r="541">
      <c r="A541" s="74"/>
      <c r="B541" s="14"/>
      <c r="C541" s="14"/>
      <c r="D541" s="14"/>
      <c r="E541" s="14"/>
      <c r="F541" s="14"/>
      <c r="G541" s="14"/>
    </row>
    <row r="542">
      <c r="A542" s="74"/>
      <c r="B542" s="14"/>
      <c r="C542" s="14"/>
      <c r="D542" s="14"/>
      <c r="E542" s="14"/>
      <c r="F542" s="14"/>
      <c r="G542" s="14"/>
    </row>
    <row r="543">
      <c r="A543" s="74"/>
      <c r="B543" s="14"/>
      <c r="C543" s="14"/>
      <c r="D543" s="14"/>
      <c r="E543" s="14"/>
      <c r="F543" s="14"/>
      <c r="G543" s="14"/>
    </row>
    <row r="544">
      <c r="A544" s="74"/>
      <c r="B544" s="14"/>
      <c r="C544" s="14"/>
      <c r="D544" s="14"/>
      <c r="E544" s="14"/>
      <c r="F544" s="14"/>
      <c r="G544" s="14"/>
    </row>
    <row r="545">
      <c r="A545" s="74"/>
      <c r="B545" s="14"/>
      <c r="C545" s="14"/>
      <c r="D545" s="14"/>
      <c r="E545" s="14"/>
      <c r="F545" s="14"/>
      <c r="G545" s="14"/>
    </row>
    <row r="546">
      <c r="A546" s="74"/>
      <c r="B546" s="14"/>
      <c r="C546" s="14"/>
      <c r="D546" s="14"/>
      <c r="E546" s="14"/>
      <c r="F546" s="14"/>
      <c r="G546" s="14"/>
    </row>
    <row r="547">
      <c r="A547" s="74"/>
      <c r="B547" s="14"/>
      <c r="C547" s="14"/>
      <c r="D547" s="14"/>
      <c r="E547" s="14"/>
      <c r="F547" s="14"/>
      <c r="G547" s="14"/>
    </row>
    <row r="548">
      <c r="A548" s="74"/>
      <c r="B548" s="14"/>
      <c r="C548" s="14"/>
      <c r="D548" s="14"/>
      <c r="E548" s="14"/>
      <c r="F548" s="14"/>
      <c r="G548" s="14"/>
    </row>
    <row r="549">
      <c r="A549" s="74"/>
      <c r="B549" s="14"/>
      <c r="C549" s="14"/>
      <c r="D549" s="14"/>
      <c r="E549" s="14"/>
      <c r="F549" s="14"/>
      <c r="G549" s="14"/>
    </row>
    <row r="550">
      <c r="A550" s="74"/>
      <c r="B550" s="14"/>
      <c r="C550" s="14"/>
      <c r="D550" s="14"/>
      <c r="E550" s="14"/>
      <c r="F550" s="14"/>
      <c r="G550" s="14"/>
    </row>
    <row r="551">
      <c r="A551" s="74"/>
      <c r="B551" s="14"/>
      <c r="C551" s="14"/>
      <c r="D551" s="14"/>
      <c r="E551" s="14"/>
      <c r="F551" s="14"/>
      <c r="G551" s="14"/>
    </row>
    <row r="552">
      <c r="A552" s="74"/>
      <c r="B552" s="14"/>
      <c r="C552" s="14"/>
      <c r="D552" s="14"/>
      <c r="E552" s="14"/>
      <c r="F552" s="14"/>
      <c r="G552" s="14"/>
    </row>
    <row r="553">
      <c r="A553" s="74"/>
      <c r="B553" s="14"/>
      <c r="C553" s="14"/>
      <c r="D553" s="14"/>
      <c r="E553" s="14"/>
      <c r="F553" s="14"/>
      <c r="G553" s="14"/>
    </row>
    <row r="554">
      <c r="A554" s="74"/>
      <c r="B554" s="14"/>
      <c r="C554" s="14"/>
      <c r="D554" s="14"/>
      <c r="E554" s="14"/>
      <c r="F554" s="14"/>
      <c r="G554" s="14"/>
    </row>
    <row r="555">
      <c r="A555" s="74"/>
      <c r="B555" s="14"/>
      <c r="C555" s="14"/>
      <c r="D555" s="14"/>
      <c r="E555" s="14"/>
      <c r="F555" s="14"/>
      <c r="G555" s="14"/>
    </row>
    <row r="556">
      <c r="A556" s="74"/>
      <c r="B556" s="14"/>
      <c r="C556" s="14"/>
      <c r="D556" s="14"/>
      <c r="E556" s="14"/>
      <c r="F556" s="14"/>
      <c r="G556" s="14"/>
    </row>
    <row r="557">
      <c r="A557" s="74"/>
      <c r="B557" s="14"/>
      <c r="C557" s="14"/>
      <c r="D557" s="14"/>
      <c r="E557" s="14"/>
      <c r="F557" s="14"/>
      <c r="G557" s="14"/>
    </row>
    <row r="558">
      <c r="A558" s="74"/>
      <c r="B558" s="14"/>
      <c r="C558" s="14"/>
      <c r="D558" s="14"/>
      <c r="E558" s="14"/>
      <c r="F558" s="14"/>
      <c r="G558" s="14"/>
    </row>
    <row r="559">
      <c r="A559" s="74"/>
      <c r="B559" s="14"/>
      <c r="C559" s="14"/>
      <c r="D559" s="14"/>
      <c r="E559" s="14"/>
      <c r="F559" s="14"/>
      <c r="G559" s="14"/>
    </row>
    <row r="560">
      <c r="A560" s="74"/>
      <c r="B560" s="14"/>
      <c r="C560" s="14"/>
      <c r="D560" s="14"/>
      <c r="E560" s="14"/>
      <c r="F560" s="14"/>
      <c r="G560" s="14"/>
    </row>
    <row r="561">
      <c r="A561" s="74"/>
      <c r="B561" s="14"/>
      <c r="C561" s="14"/>
      <c r="D561" s="14"/>
      <c r="E561" s="14"/>
      <c r="F561" s="14"/>
      <c r="G561" s="14"/>
    </row>
    <row r="562">
      <c r="A562" s="74"/>
      <c r="B562" s="14"/>
      <c r="C562" s="14"/>
      <c r="D562" s="14"/>
      <c r="E562" s="14"/>
      <c r="F562" s="14"/>
      <c r="G562" s="14"/>
    </row>
    <row r="563">
      <c r="A563" s="74"/>
      <c r="B563" s="14"/>
      <c r="C563" s="14"/>
      <c r="D563" s="14"/>
      <c r="E563" s="14"/>
      <c r="F563" s="14"/>
      <c r="G563" s="14"/>
    </row>
    <row r="564">
      <c r="A564" s="74"/>
      <c r="B564" s="14"/>
      <c r="C564" s="14"/>
      <c r="D564" s="14"/>
      <c r="E564" s="14"/>
      <c r="F564" s="14"/>
      <c r="G564" s="14"/>
    </row>
    <row r="565">
      <c r="A565" s="74"/>
      <c r="B565" s="14"/>
      <c r="C565" s="14"/>
      <c r="D565" s="14"/>
      <c r="E565" s="14"/>
      <c r="F565" s="14"/>
      <c r="G565" s="14"/>
    </row>
    <row r="566">
      <c r="A566" s="74"/>
      <c r="B566" s="14"/>
      <c r="C566" s="14"/>
      <c r="D566" s="14"/>
      <c r="E566" s="14"/>
      <c r="F566" s="14"/>
      <c r="G566" s="14"/>
    </row>
    <row r="567">
      <c r="A567" s="74"/>
      <c r="B567" s="14"/>
      <c r="C567" s="14"/>
      <c r="D567" s="14"/>
      <c r="E567" s="14"/>
      <c r="F567" s="14"/>
      <c r="G567" s="14"/>
    </row>
    <row r="568">
      <c r="A568" s="74"/>
      <c r="B568" s="14"/>
      <c r="C568" s="14"/>
      <c r="D568" s="14"/>
      <c r="E568" s="14"/>
      <c r="F568" s="14"/>
      <c r="G568" s="14"/>
    </row>
    <row r="569">
      <c r="A569" s="74"/>
      <c r="B569" s="14"/>
      <c r="C569" s="14"/>
      <c r="D569" s="14"/>
      <c r="E569" s="14"/>
      <c r="F569" s="14"/>
      <c r="G569" s="14"/>
    </row>
    <row r="570">
      <c r="A570" s="74"/>
      <c r="B570" s="14"/>
      <c r="C570" s="14"/>
      <c r="D570" s="14"/>
      <c r="E570" s="14"/>
      <c r="F570" s="14"/>
      <c r="G570" s="14"/>
    </row>
    <row r="571">
      <c r="A571" s="74"/>
      <c r="B571" s="14"/>
      <c r="C571" s="14"/>
      <c r="D571" s="14"/>
      <c r="E571" s="14"/>
      <c r="F571" s="14"/>
      <c r="G571" s="14"/>
    </row>
    <row r="572">
      <c r="A572" s="74"/>
      <c r="B572" s="14"/>
      <c r="C572" s="14"/>
      <c r="D572" s="14"/>
      <c r="E572" s="14"/>
      <c r="F572" s="14"/>
      <c r="G572" s="14"/>
    </row>
    <row r="573">
      <c r="A573" s="74"/>
      <c r="B573" s="14"/>
      <c r="C573" s="14"/>
      <c r="D573" s="14"/>
      <c r="E573" s="14"/>
      <c r="F573" s="14"/>
      <c r="G573" s="14"/>
    </row>
    <row r="574">
      <c r="A574" s="74"/>
      <c r="B574" s="14"/>
      <c r="C574" s="14"/>
      <c r="D574" s="14"/>
      <c r="E574" s="14"/>
      <c r="F574" s="14"/>
      <c r="G574" s="14"/>
    </row>
    <row r="575">
      <c r="A575" s="74"/>
      <c r="B575" s="14"/>
      <c r="C575" s="14"/>
      <c r="D575" s="14"/>
      <c r="E575" s="14"/>
      <c r="F575" s="14"/>
      <c r="G575" s="14"/>
    </row>
    <row r="576">
      <c r="A576" s="74"/>
      <c r="B576" s="14"/>
      <c r="C576" s="14"/>
      <c r="D576" s="14"/>
      <c r="E576" s="14"/>
      <c r="F576" s="14"/>
      <c r="G576" s="14"/>
    </row>
    <row r="577">
      <c r="A577" s="74"/>
      <c r="B577" s="14"/>
      <c r="C577" s="14"/>
      <c r="D577" s="14"/>
      <c r="E577" s="14"/>
      <c r="F577" s="14"/>
      <c r="G577" s="14"/>
    </row>
    <row r="578">
      <c r="A578" s="74"/>
      <c r="B578" s="14"/>
      <c r="C578" s="14"/>
      <c r="D578" s="14"/>
      <c r="E578" s="14"/>
      <c r="F578" s="14"/>
      <c r="G578" s="14"/>
    </row>
    <row r="579">
      <c r="A579" s="74"/>
      <c r="B579" s="14"/>
      <c r="C579" s="14"/>
      <c r="D579" s="14"/>
      <c r="E579" s="14"/>
      <c r="F579" s="14"/>
      <c r="G579" s="14"/>
    </row>
    <row r="580">
      <c r="A580" s="74"/>
      <c r="B580" s="14"/>
      <c r="C580" s="14"/>
      <c r="D580" s="14"/>
      <c r="E580" s="14"/>
      <c r="F580" s="14"/>
      <c r="G580" s="14"/>
    </row>
    <row r="581">
      <c r="A581" s="74"/>
      <c r="B581" s="14"/>
      <c r="C581" s="14"/>
      <c r="D581" s="14"/>
      <c r="E581" s="14"/>
      <c r="F581" s="14"/>
      <c r="G581" s="14"/>
    </row>
    <row r="582">
      <c r="A582" s="74"/>
      <c r="B582" s="14"/>
      <c r="C582" s="14"/>
      <c r="D582" s="14"/>
      <c r="E582" s="14"/>
      <c r="F582" s="14"/>
      <c r="G582" s="14"/>
    </row>
    <row r="583">
      <c r="A583" s="74"/>
      <c r="B583" s="14"/>
      <c r="C583" s="14"/>
      <c r="D583" s="14"/>
      <c r="E583" s="14"/>
      <c r="F583" s="14"/>
      <c r="G583" s="14"/>
    </row>
    <row r="584">
      <c r="A584" s="74"/>
      <c r="B584" s="14"/>
      <c r="C584" s="14"/>
      <c r="D584" s="14"/>
      <c r="E584" s="14"/>
      <c r="F584" s="14"/>
      <c r="G584" s="14"/>
    </row>
    <row r="585">
      <c r="A585" s="74"/>
      <c r="B585" s="14"/>
      <c r="C585" s="14"/>
      <c r="D585" s="14"/>
      <c r="E585" s="14"/>
      <c r="F585" s="14"/>
      <c r="G585" s="14"/>
    </row>
    <row r="586">
      <c r="A586" s="74"/>
      <c r="B586" s="14"/>
      <c r="C586" s="14"/>
      <c r="D586" s="14"/>
      <c r="E586" s="14"/>
      <c r="F586" s="14"/>
      <c r="G586" s="14"/>
    </row>
    <row r="587">
      <c r="A587" s="74"/>
      <c r="B587" s="14"/>
      <c r="C587" s="14"/>
      <c r="D587" s="14"/>
      <c r="E587" s="14"/>
      <c r="F587" s="14"/>
      <c r="G587" s="14"/>
    </row>
    <row r="588">
      <c r="A588" s="74"/>
      <c r="B588" s="14"/>
      <c r="C588" s="14"/>
      <c r="D588" s="14"/>
      <c r="E588" s="14"/>
      <c r="F588" s="14"/>
      <c r="G588" s="14"/>
    </row>
    <row r="589">
      <c r="A589" s="74"/>
      <c r="B589" s="14"/>
      <c r="C589" s="14"/>
      <c r="D589" s="14"/>
      <c r="E589" s="14"/>
      <c r="F589" s="14"/>
      <c r="G589" s="14"/>
    </row>
    <row r="590">
      <c r="A590" s="74"/>
      <c r="B590" s="14"/>
      <c r="C590" s="14"/>
      <c r="D590" s="14"/>
      <c r="E590" s="14"/>
      <c r="F590" s="14"/>
      <c r="G590" s="14"/>
    </row>
    <row r="591">
      <c r="A591" s="74"/>
      <c r="B591" s="14"/>
      <c r="C591" s="14"/>
      <c r="D591" s="14"/>
      <c r="E591" s="14"/>
      <c r="F591" s="14"/>
      <c r="G591" s="14"/>
    </row>
    <row r="592">
      <c r="A592" s="74"/>
      <c r="B592" s="14"/>
      <c r="C592" s="14"/>
      <c r="D592" s="14"/>
      <c r="E592" s="14"/>
      <c r="F592" s="14"/>
      <c r="G592" s="14"/>
    </row>
    <row r="593">
      <c r="A593" s="74"/>
      <c r="B593" s="14"/>
      <c r="C593" s="14"/>
      <c r="D593" s="14"/>
      <c r="E593" s="14"/>
      <c r="F593" s="14"/>
      <c r="G593" s="14"/>
    </row>
    <row r="594">
      <c r="A594" s="74"/>
      <c r="B594" s="14"/>
      <c r="C594" s="14"/>
      <c r="D594" s="14"/>
      <c r="E594" s="14"/>
      <c r="F594" s="14"/>
      <c r="G594" s="14"/>
    </row>
    <row r="595">
      <c r="A595" s="74"/>
      <c r="B595" s="14"/>
      <c r="C595" s="14"/>
      <c r="D595" s="14"/>
      <c r="E595" s="14"/>
      <c r="F595" s="14"/>
      <c r="G595" s="14"/>
    </row>
    <row r="596">
      <c r="A596" s="74"/>
      <c r="B596" s="14"/>
      <c r="C596" s="14"/>
      <c r="D596" s="14"/>
      <c r="E596" s="14"/>
      <c r="F596" s="14"/>
      <c r="G596" s="14"/>
    </row>
    <row r="597">
      <c r="A597" s="74"/>
      <c r="B597" s="14"/>
      <c r="C597" s="14"/>
      <c r="D597" s="14"/>
      <c r="E597" s="14"/>
      <c r="F597" s="14"/>
      <c r="G597" s="14"/>
    </row>
    <row r="598">
      <c r="A598" s="74"/>
      <c r="B598" s="14"/>
      <c r="C598" s="14"/>
      <c r="D598" s="14"/>
      <c r="E598" s="14"/>
      <c r="F598" s="14"/>
      <c r="G598" s="14"/>
    </row>
    <row r="599">
      <c r="A599" s="74"/>
      <c r="B599" s="14"/>
      <c r="C599" s="14"/>
      <c r="D599" s="14"/>
      <c r="E599" s="14"/>
      <c r="F599" s="14"/>
      <c r="G599" s="14"/>
    </row>
    <row r="600">
      <c r="A600" s="74"/>
      <c r="B600" s="14"/>
      <c r="C600" s="14"/>
      <c r="D600" s="14"/>
      <c r="E600" s="14"/>
      <c r="F600" s="14"/>
      <c r="G600" s="14"/>
    </row>
    <row r="601">
      <c r="A601" s="74"/>
      <c r="B601" s="14"/>
      <c r="C601" s="14"/>
      <c r="D601" s="14"/>
      <c r="E601" s="14"/>
      <c r="F601" s="14"/>
      <c r="G601" s="14"/>
    </row>
    <row r="602">
      <c r="A602" s="74"/>
      <c r="B602" s="14"/>
      <c r="C602" s="14"/>
      <c r="D602" s="14"/>
      <c r="E602" s="14"/>
      <c r="F602" s="14"/>
      <c r="G602" s="14"/>
    </row>
    <row r="603">
      <c r="A603" s="74"/>
      <c r="B603" s="14"/>
      <c r="C603" s="14"/>
      <c r="D603" s="14"/>
      <c r="E603" s="14"/>
      <c r="F603" s="14"/>
      <c r="G603" s="14"/>
    </row>
    <row r="604">
      <c r="A604" s="74"/>
      <c r="B604" s="14"/>
      <c r="C604" s="14"/>
      <c r="D604" s="14"/>
      <c r="E604" s="14"/>
      <c r="F604" s="14"/>
      <c r="G604" s="14"/>
    </row>
    <row r="605">
      <c r="A605" s="74"/>
      <c r="B605" s="14"/>
      <c r="C605" s="14"/>
      <c r="D605" s="14"/>
      <c r="E605" s="14"/>
      <c r="F605" s="14"/>
      <c r="G605" s="14"/>
    </row>
    <row r="606">
      <c r="A606" s="74"/>
      <c r="B606" s="14"/>
      <c r="C606" s="14"/>
      <c r="D606" s="14"/>
      <c r="E606" s="14"/>
      <c r="F606" s="14"/>
      <c r="G606" s="14"/>
    </row>
    <row r="607">
      <c r="A607" s="74"/>
      <c r="B607" s="14"/>
      <c r="C607" s="14"/>
      <c r="D607" s="14"/>
      <c r="E607" s="14"/>
      <c r="F607" s="14"/>
      <c r="G607" s="14"/>
    </row>
    <row r="608">
      <c r="A608" s="74"/>
      <c r="B608" s="14"/>
      <c r="C608" s="14"/>
      <c r="D608" s="14"/>
      <c r="E608" s="14"/>
      <c r="F608" s="14"/>
      <c r="G608" s="14"/>
    </row>
    <row r="609">
      <c r="A609" s="74"/>
      <c r="B609" s="14"/>
      <c r="C609" s="14"/>
      <c r="D609" s="14"/>
      <c r="E609" s="14"/>
      <c r="F609" s="14"/>
      <c r="G609" s="14"/>
    </row>
    <row r="610">
      <c r="A610" s="74"/>
      <c r="B610" s="14"/>
      <c r="C610" s="14"/>
      <c r="D610" s="14"/>
      <c r="E610" s="14"/>
      <c r="F610" s="14"/>
      <c r="G610" s="14"/>
    </row>
    <row r="611">
      <c r="A611" s="74"/>
      <c r="B611" s="14"/>
      <c r="C611" s="14"/>
      <c r="D611" s="14"/>
      <c r="E611" s="14"/>
      <c r="F611" s="14"/>
      <c r="G611" s="14"/>
    </row>
    <row r="612">
      <c r="A612" s="74"/>
      <c r="B612" s="14"/>
      <c r="C612" s="14"/>
      <c r="D612" s="14"/>
      <c r="E612" s="14"/>
      <c r="F612" s="14"/>
      <c r="G612" s="14"/>
    </row>
    <row r="613">
      <c r="A613" s="74"/>
      <c r="B613" s="14"/>
      <c r="C613" s="14"/>
      <c r="D613" s="14"/>
      <c r="E613" s="14"/>
      <c r="F613" s="14"/>
      <c r="G613" s="14"/>
    </row>
    <row r="614">
      <c r="A614" s="74"/>
      <c r="B614" s="14"/>
      <c r="C614" s="14"/>
      <c r="D614" s="14"/>
      <c r="E614" s="14"/>
      <c r="F614" s="14"/>
      <c r="G614" s="14"/>
    </row>
    <row r="615">
      <c r="A615" s="74"/>
      <c r="B615" s="14"/>
      <c r="C615" s="14"/>
      <c r="D615" s="14"/>
      <c r="E615" s="14"/>
      <c r="F615" s="14"/>
      <c r="G615" s="14"/>
    </row>
    <row r="616">
      <c r="A616" s="74"/>
      <c r="B616" s="14"/>
      <c r="C616" s="14"/>
      <c r="D616" s="14"/>
      <c r="E616" s="14"/>
      <c r="F616" s="14"/>
      <c r="G616" s="14"/>
    </row>
    <row r="617">
      <c r="A617" s="74"/>
      <c r="B617" s="14"/>
      <c r="C617" s="14"/>
      <c r="D617" s="14"/>
      <c r="E617" s="14"/>
      <c r="F617" s="14"/>
      <c r="G617" s="14"/>
    </row>
    <row r="618">
      <c r="A618" s="74"/>
      <c r="B618" s="14"/>
      <c r="C618" s="14"/>
      <c r="D618" s="14"/>
      <c r="E618" s="14"/>
      <c r="F618" s="14"/>
      <c r="G618" s="14"/>
    </row>
    <row r="619">
      <c r="A619" s="74"/>
      <c r="B619" s="14"/>
      <c r="C619" s="14"/>
      <c r="D619" s="14"/>
      <c r="E619" s="14"/>
      <c r="F619" s="14"/>
      <c r="G619" s="14"/>
    </row>
    <row r="620">
      <c r="A620" s="74"/>
      <c r="B620" s="14"/>
      <c r="C620" s="14"/>
      <c r="D620" s="14"/>
      <c r="E620" s="14"/>
      <c r="F620" s="14"/>
      <c r="G620" s="14"/>
    </row>
    <row r="621">
      <c r="A621" s="74"/>
      <c r="B621" s="14"/>
      <c r="C621" s="14"/>
      <c r="D621" s="14"/>
      <c r="E621" s="14"/>
      <c r="F621" s="14"/>
      <c r="G621" s="14"/>
    </row>
    <row r="622">
      <c r="A622" s="74"/>
      <c r="B622" s="14"/>
      <c r="C622" s="14"/>
      <c r="D622" s="14"/>
      <c r="E622" s="14"/>
      <c r="F622" s="14"/>
      <c r="G622" s="14"/>
    </row>
    <row r="623">
      <c r="A623" s="74"/>
      <c r="B623" s="14"/>
      <c r="C623" s="14"/>
      <c r="D623" s="14"/>
      <c r="E623" s="14"/>
      <c r="F623" s="14"/>
      <c r="G623" s="14"/>
    </row>
    <row r="624">
      <c r="A624" s="74"/>
      <c r="B624" s="14"/>
      <c r="C624" s="14"/>
      <c r="D624" s="14"/>
      <c r="E624" s="14"/>
      <c r="F624" s="14"/>
      <c r="G624" s="14"/>
    </row>
    <row r="625">
      <c r="A625" s="74"/>
      <c r="B625" s="14"/>
      <c r="C625" s="14"/>
      <c r="D625" s="14"/>
      <c r="E625" s="14"/>
      <c r="F625" s="14"/>
      <c r="G625" s="14"/>
    </row>
    <row r="626">
      <c r="A626" s="74"/>
      <c r="B626" s="14"/>
      <c r="C626" s="14"/>
      <c r="D626" s="14"/>
      <c r="E626" s="14"/>
      <c r="F626" s="14"/>
      <c r="G626" s="14"/>
    </row>
    <row r="627">
      <c r="A627" s="74"/>
      <c r="B627" s="14"/>
      <c r="C627" s="14"/>
      <c r="D627" s="14"/>
      <c r="E627" s="14"/>
      <c r="F627" s="14"/>
      <c r="G627" s="14"/>
    </row>
    <row r="628">
      <c r="A628" s="74"/>
      <c r="B628" s="14"/>
      <c r="C628" s="14"/>
      <c r="D628" s="14"/>
      <c r="E628" s="14"/>
      <c r="F628" s="14"/>
      <c r="G628" s="14"/>
    </row>
    <row r="629">
      <c r="A629" s="74"/>
      <c r="B629" s="14"/>
      <c r="C629" s="14"/>
      <c r="D629" s="14"/>
      <c r="E629" s="14"/>
      <c r="F629" s="14"/>
      <c r="G629" s="14"/>
    </row>
    <row r="630">
      <c r="A630" s="74"/>
      <c r="B630" s="14"/>
      <c r="C630" s="14"/>
      <c r="D630" s="14"/>
      <c r="E630" s="14"/>
      <c r="F630" s="14"/>
      <c r="G630" s="14"/>
    </row>
    <row r="631">
      <c r="A631" s="74"/>
      <c r="B631" s="14"/>
      <c r="C631" s="14"/>
      <c r="D631" s="14"/>
      <c r="E631" s="14"/>
      <c r="F631" s="14"/>
      <c r="G631" s="14"/>
    </row>
    <row r="632">
      <c r="A632" s="74"/>
      <c r="B632" s="14"/>
      <c r="C632" s="14"/>
      <c r="D632" s="14"/>
      <c r="E632" s="14"/>
      <c r="F632" s="14"/>
      <c r="G632" s="14"/>
    </row>
    <row r="633">
      <c r="A633" s="74"/>
      <c r="B633" s="14"/>
      <c r="C633" s="14"/>
      <c r="D633" s="14"/>
      <c r="E633" s="14"/>
      <c r="F633" s="14"/>
      <c r="G633" s="14"/>
    </row>
    <row r="634">
      <c r="A634" s="74"/>
      <c r="B634" s="14"/>
      <c r="C634" s="14"/>
      <c r="D634" s="14"/>
      <c r="E634" s="14"/>
      <c r="F634" s="14"/>
      <c r="G634" s="14"/>
    </row>
    <row r="635">
      <c r="A635" s="74"/>
      <c r="B635" s="14"/>
      <c r="C635" s="14"/>
      <c r="D635" s="14"/>
      <c r="E635" s="14"/>
      <c r="F635" s="14"/>
      <c r="G635" s="14"/>
    </row>
    <row r="636">
      <c r="A636" s="74"/>
      <c r="B636" s="14"/>
      <c r="C636" s="14"/>
      <c r="D636" s="14"/>
      <c r="E636" s="14"/>
      <c r="F636" s="14"/>
      <c r="G636" s="14"/>
    </row>
    <row r="637">
      <c r="A637" s="74"/>
      <c r="B637" s="14"/>
      <c r="C637" s="14"/>
      <c r="D637" s="14"/>
      <c r="E637" s="14"/>
      <c r="F637" s="14"/>
      <c r="G637" s="14"/>
    </row>
    <row r="638">
      <c r="A638" s="74"/>
      <c r="B638" s="14"/>
      <c r="C638" s="14"/>
      <c r="D638" s="14"/>
      <c r="E638" s="14"/>
      <c r="F638" s="14"/>
      <c r="G638" s="14"/>
    </row>
    <row r="639">
      <c r="A639" s="74"/>
      <c r="B639" s="14"/>
      <c r="C639" s="14"/>
      <c r="D639" s="14"/>
      <c r="E639" s="14"/>
      <c r="F639" s="14"/>
      <c r="G639" s="14"/>
    </row>
    <row r="640">
      <c r="A640" s="74"/>
      <c r="B640" s="14"/>
      <c r="C640" s="14"/>
      <c r="D640" s="14"/>
      <c r="E640" s="14"/>
      <c r="F640" s="14"/>
      <c r="G640" s="14"/>
    </row>
    <row r="641">
      <c r="A641" s="74"/>
      <c r="B641" s="14"/>
      <c r="C641" s="14"/>
      <c r="D641" s="14"/>
      <c r="E641" s="14"/>
      <c r="F641" s="14"/>
      <c r="G641" s="14"/>
    </row>
    <row r="642">
      <c r="A642" s="74"/>
      <c r="B642" s="14"/>
      <c r="C642" s="14"/>
      <c r="D642" s="14"/>
      <c r="E642" s="14"/>
      <c r="F642" s="14"/>
      <c r="G642" s="14"/>
    </row>
    <row r="643">
      <c r="A643" s="74"/>
      <c r="B643" s="14"/>
      <c r="C643" s="14"/>
      <c r="D643" s="14"/>
      <c r="E643" s="14"/>
      <c r="F643" s="14"/>
      <c r="G643" s="14"/>
    </row>
    <row r="644">
      <c r="A644" s="74"/>
      <c r="B644" s="14"/>
      <c r="C644" s="14"/>
      <c r="D644" s="14"/>
      <c r="E644" s="14"/>
      <c r="F644" s="14"/>
      <c r="G644" s="14"/>
    </row>
    <row r="645">
      <c r="A645" s="74"/>
      <c r="B645" s="14"/>
      <c r="C645" s="14"/>
      <c r="D645" s="14"/>
      <c r="E645" s="14"/>
      <c r="F645" s="14"/>
      <c r="G645" s="14"/>
    </row>
    <row r="646">
      <c r="A646" s="74"/>
      <c r="B646" s="14"/>
      <c r="C646" s="14"/>
      <c r="D646" s="14"/>
      <c r="E646" s="14"/>
      <c r="F646" s="14"/>
      <c r="G646" s="14"/>
    </row>
    <row r="647">
      <c r="A647" s="74"/>
      <c r="B647" s="14"/>
      <c r="C647" s="14"/>
      <c r="D647" s="14"/>
      <c r="E647" s="14"/>
      <c r="F647" s="14"/>
      <c r="G647" s="14"/>
    </row>
    <row r="648">
      <c r="A648" s="74"/>
      <c r="B648" s="14"/>
      <c r="C648" s="14"/>
      <c r="D648" s="14"/>
      <c r="E648" s="14"/>
      <c r="F648" s="14"/>
      <c r="G648" s="14"/>
    </row>
    <row r="649">
      <c r="A649" s="74"/>
      <c r="B649" s="14"/>
      <c r="C649" s="14"/>
      <c r="D649" s="14"/>
      <c r="E649" s="14"/>
      <c r="F649" s="14"/>
      <c r="G649" s="14"/>
    </row>
    <row r="650">
      <c r="A650" s="74"/>
      <c r="B650" s="14"/>
      <c r="C650" s="14"/>
      <c r="D650" s="14"/>
      <c r="E650" s="14"/>
      <c r="F650" s="14"/>
      <c r="G650" s="14"/>
    </row>
    <row r="651">
      <c r="A651" s="74"/>
      <c r="B651" s="14"/>
      <c r="C651" s="14"/>
      <c r="D651" s="14"/>
      <c r="E651" s="14"/>
      <c r="F651" s="14"/>
      <c r="G651" s="14"/>
    </row>
    <row r="652">
      <c r="A652" s="74"/>
      <c r="B652" s="14"/>
      <c r="C652" s="14"/>
      <c r="D652" s="14"/>
      <c r="E652" s="14"/>
      <c r="F652" s="14"/>
      <c r="G652" s="14"/>
    </row>
    <row r="653">
      <c r="A653" s="74"/>
      <c r="B653" s="14"/>
      <c r="C653" s="14"/>
      <c r="D653" s="14"/>
      <c r="E653" s="14"/>
      <c r="F653" s="14"/>
      <c r="G653" s="14"/>
    </row>
    <row r="654">
      <c r="A654" s="74"/>
      <c r="B654" s="14"/>
      <c r="C654" s="14"/>
      <c r="D654" s="14"/>
      <c r="E654" s="14"/>
      <c r="F654" s="14"/>
      <c r="G654" s="14"/>
    </row>
    <row r="655">
      <c r="A655" s="74"/>
      <c r="B655" s="14"/>
      <c r="C655" s="14"/>
      <c r="D655" s="14"/>
      <c r="E655" s="14"/>
      <c r="F655" s="14"/>
      <c r="G655" s="14"/>
    </row>
    <row r="656">
      <c r="A656" s="74"/>
      <c r="B656" s="14"/>
      <c r="C656" s="14"/>
      <c r="D656" s="14"/>
      <c r="E656" s="14"/>
      <c r="F656" s="14"/>
      <c r="G656" s="14"/>
    </row>
    <row r="657">
      <c r="A657" s="74"/>
      <c r="B657" s="14"/>
      <c r="C657" s="14"/>
      <c r="D657" s="14"/>
      <c r="E657" s="14"/>
      <c r="F657" s="14"/>
      <c r="G657" s="14"/>
    </row>
    <row r="658">
      <c r="A658" s="74"/>
      <c r="B658" s="14"/>
      <c r="C658" s="14"/>
      <c r="D658" s="14"/>
      <c r="E658" s="14"/>
      <c r="F658" s="14"/>
      <c r="G658" s="14"/>
    </row>
    <row r="659">
      <c r="A659" s="74"/>
      <c r="B659" s="14"/>
      <c r="C659" s="14"/>
      <c r="D659" s="14"/>
      <c r="E659" s="14"/>
      <c r="F659" s="14"/>
      <c r="G659" s="14"/>
    </row>
    <row r="660">
      <c r="A660" s="74"/>
      <c r="B660" s="14"/>
      <c r="C660" s="14"/>
      <c r="D660" s="14"/>
      <c r="E660" s="14"/>
      <c r="F660" s="14"/>
      <c r="G660" s="14"/>
    </row>
    <row r="661">
      <c r="A661" s="74"/>
      <c r="B661" s="14"/>
      <c r="C661" s="14"/>
      <c r="D661" s="14"/>
      <c r="E661" s="14"/>
      <c r="F661" s="14"/>
      <c r="G661" s="14"/>
    </row>
    <row r="662">
      <c r="A662" s="74"/>
      <c r="B662" s="14"/>
      <c r="C662" s="14"/>
      <c r="D662" s="14"/>
      <c r="E662" s="14"/>
      <c r="F662" s="14"/>
      <c r="G662" s="14"/>
    </row>
    <row r="663">
      <c r="A663" s="74"/>
      <c r="B663" s="14"/>
      <c r="C663" s="14"/>
      <c r="D663" s="14"/>
      <c r="E663" s="14"/>
      <c r="F663" s="14"/>
      <c r="G663" s="14"/>
    </row>
    <row r="664">
      <c r="A664" s="74"/>
      <c r="B664" s="14"/>
      <c r="C664" s="14"/>
      <c r="D664" s="14"/>
      <c r="E664" s="14"/>
      <c r="F664" s="14"/>
      <c r="G664" s="14"/>
    </row>
    <row r="665">
      <c r="A665" s="74"/>
      <c r="B665" s="14"/>
      <c r="C665" s="14"/>
      <c r="D665" s="14"/>
      <c r="E665" s="14"/>
      <c r="F665" s="14"/>
      <c r="G665" s="14"/>
    </row>
    <row r="666">
      <c r="A666" s="74"/>
      <c r="B666" s="14"/>
      <c r="C666" s="14"/>
      <c r="D666" s="14"/>
      <c r="E666" s="14"/>
      <c r="F666" s="14"/>
      <c r="G666" s="14"/>
    </row>
    <row r="667">
      <c r="A667" s="74"/>
      <c r="B667" s="14"/>
      <c r="C667" s="14"/>
      <c r="D667" s="14"/>
      <c r="E667" s="14"/>
      <c r="F667" s="14"/>
      <c r="G667" s="14"/>
    </row>
    <row r="668">
      <c r="A668" s="74"/>
      <c r="B668" s="14"/>
      <c r="C668" s="14"/>
      <c r="D668" s="14"/>
      <c r="E668" s="14"/>
      <c r="F668" s="14"/>
      <c r="G668" s="14"/>
    </row>
    <row r="669">
      <c r="A669" s="74"/>
      <c r="B669" s="14"/>
      <c r="C669" s="14"/>
      <c r="D669" s="14"/>
      <c r="E669" s="14"/>
      <c r="F669" s="14"/>
      <c r="G669" s="14"/>
    </row>
    <row r="670">
      <c r="A670" s="74"/>
      <c r="B670" s="14"/>
      <c r="C670" s="14"/>
      <c r="D670" s="14"/>
      <c r="E670" s="14"/>
      <c r="F670" s="14"/>
      <c r="G670" s="14"/>
    </row>
    <row r="671">
      <c r="A671" s="74"/>
      <c r="B671" s="14"/>
      <c r="C671" s="14"/>
      <c r="D671" s="14"/>
      <c r="E671" s="14"/>
      <c r="F671" s="14"/>
      <c r="G671" s="14"/>
    </row>
    <row r="672">
      <c r="A672" s="74"/>
      <c r="B672" s="14"/>
      <c r="C672" s="14"/>
      <c r="D672" s="14"/>
      <c r="E672" s="14"/>
      <c r="F672" s="14"/>
      <c r="G672" s="14"/>
    </row>
    <row r="673">
      <c r="A673" s="74"/>
      <c r="B673" s="14"/>
      <c r="C673" s="14"/>
      <c r="D673" s="14"/>
      <c r="E673" s="14"/>
      <c r="F673" s="14"/>
      <c r="G673" s="14"/>
    </row>
    <row r="674">
      <c r="A674" s="74"/>
      <c r="B674" s="14"/>
      <c r="C674" s="14"/>
      <c r="D674" s="14"/>
      <c r="E674" s="14"/>
      <c r="F674" s="14"/>
      <c r="G674" s="14"/>
    </row>
    <row r="675">
      <c r="A675" s="74"/>
      <c r="B675" s="14"/>
      <c r="C675" s="14"/>
      <c r="D675" s="14"/>
      <c r="E675" s="14"/>
      <c r="F675" s="14"/>
      <c r="G675" s="14"/>
    </row>
    <row r="676">
      <c r="A676" s="74"/>
      <c r="B676" s="14"/>
      <c r="C676" s="14"/>
      <c r="D676" s="14"/>
      <c r="E676" s="14"/>
      <c r="F676" s="14"/>
      <c r="G676" s="14"/>
    </row>
    <row r="677">
      <c r="A677" s="74"/>
      <c r="B677" s="14"/>
      <c r="C677" s="14"/>
      <c r="D677" s="14"/>
      <c r="E677" s="14"/>
      <c r="F677" s="14"/>
      <c r="G677" s="14"/>
    </row>
    <row r="678">
      <c r="A678" s="74"/>
      <c r="B678" s="14"/>
      <c r="C678" s="14"/>
      <c r="D678" s="14"/>
      <c r="E678" s="14"/>
      <c r="F678" s="14"/>
      <c r="G678" s="14"/>
    </row>
    <row r="679">
      <c r="A679" s="74"/>
      <c r="B679" s="14"/>
      <c r="C679" s="14"/>
      <c r="D679" s="14"/>
      <c r="E679" s="14"/>
      <c r="F679" s="14"/>
      <c r="G679" s="14"/>
    </row>
    <row r="680">
      <c r="A680" s="74"/>
      <c r="B680" s="14"/>
      <c r="C680" s="14"/>
      <c r="D680" s="14"/>
      <c r="E680" s="14"/>
      <c r="F680" s="14"/>
      <c r="G680" s="14"/>
    </row>
    <row r="681">
      <c r="A681" s="74"/>
      <c r="B681" s="14"/>
      <c r="C681" s="14"/>
      <c r="D681" s="14"/>
      <c r="E681" s="14"/>
      <c r="F681" s="14"/>
      <c r="G681" s="14"/>
    </row>
    <row r="682">
      <c r="A682" s="74"/>
      <c r="B682" s="14"/>
      <c r="C682" s="14"/>
      <c r="D682" s="14"/>
      <c r="E682" s="14"/>
      <c r="F682" s="14"/>
      <c r="G682" s="14"/>
    </row>
    <row r="683">
      <c r="A683" s="74"/>
      <c r="B683" s="14"/>
      <c r="C683" s="14"/>
      <c r="D683" s="14"/>
      <c r="E683" s="14"/>
      <c r="F683" s="14"/>
      <c r="G683" s="14"/>
    </row>
    <row r="684">
      <c r="A684" s="74"/>
      <c r="B684" s="14"/>
      <c r="C684" s="14"/>
      <c r="D684" s="14"/>
      <c r="E684" s="14"/>
      <c r="F684" s="14"/>
      <c r="G684" s="14"/>
    </row>
    <row r="685">
      <c r="A685" s="74"/>
      <c r="B685" s="14"/>
      <c r="C685" s="14"/>
      <c r="D685" s="14"/>
      <c r="E685" s="14"/>
      <c r="F685" s="14"/>
      <c r="G685" s="14"/>
    </row>
    <row r="686">
      <c r="A686" s="74"/>
      <c r="B686" s="14"/>
      <c r="C686" s="14"/>
      <c r="D686" s="14"/>
      <c r="E686" s="14"/>
      <c r="F686" s="14"/>
      <c r="G686" s="14"/>
    </row>
    <row r="687">
      <c r="A687" s="74"/>
      <c r="B687" s="14"/>
      <c r="C687" s="14"/>
      <c r="D687" s="14"/>
      <c r="E687" s="14"/>
      <c r="F687" s="14"/>
      <c r="G687" s="14"/>
    </row>
    <row r="688">
      <c r="A688" s="74"/>
      <c r="B688" s="14"/>
      <c r="C688" s="14"/>
      <c r="D688" s="14"/>
      <c r="E688" s="14"/>
      <c r="F688" s="14"/>
      <c r="G688" s="14"/>
    </row>
    <row r="689">
      <c r="A689" s="74"/>
      <c r="B689" s="14"/>
      <c r="C689" s="14"/>
      <c r="D689" s="14"/>
      <c r="E689" s="14"/>
      <c r="F689" s="14"/>
      <c r="G689" s="14"/>
    </row>
    <row r="690">
      <c r="A690" s="74"/>
      <c r="B690" s="14"/>
      <c r="C690" s="14"/>
      <c r="D690" s="14"/>
      <c r="E690" s="14"/>
      <c r="F690" s="14"/>
      <c r="G690" s="14"/>
    </row>
    <row r="691">
      <c r="A691" s="74"/>
      <c r="B691" s="14"/>
      <c r="C691" s="14"/>
      <c r="D691" s="14"/>
      <c r="E691" s="14"/>
      <c r="F691" s="14"/>
      <c r="G691" s="14"/>
    </row>
    <row r="692">
      <c r="A692" s="74"/>
      <c r="B692" s="14"/>
      <c r="C692" s="14"/>
      <c r="D692" s="14"/>
      <c r="E692" s="14"/>
      <c r="F692" s="14"/>
      <c r="G692" s="14"/>
    </row>
    <row r="693">
      <c r="A693" s="74"/>
      <c r="B693" s="14"/>
      <c r="C693" s="14"/>
      <c r="D693" s="14"/>
      <c r="E693" s="14"/>
      <c r="F693" s="14"/>
      <c r="G693" s="14"/>
    </row>
    <row r="694">
      <c r="A694" s="74"/>
      <c r="B694" s="14"/>
      <c r="C694" s="14"/>
      <c r="D694" s="14"/>
      <c r="E694" s="14"/>
      <c r="F694" s="14"/>
      <c r="G694" s="14"/>
    </row>
    <row r="695">
      <c r="A695" s="74"/>
      <c r="B695" s="14"/>
      <c r="C695" s="14"/>
      <c r="D695" s="14"/>
      <c r="E695" s="14"/>
      <c r="F695" s="14"/>
      <c r="G695" s="14"/>
    </row>
    <row r="696">
      <c r="A696" s="74"/>
      <c r="B696" s="14"/>
      <c r="C696" s="14"/>
      <c r="D696" s="14"/>
      <c r="E696" s="14"/>
      <c r="F696" s="14"/>
      <c r="G696" s="14"/>
    </row>
    <row r="697">
      <c r="A697" s="74"/>
      <c r="B697" s="14"/>
      <c r="C697" s="14"/>
      <c r="D697" s="14"/>
      <c r="E697" s="14"/>
      <c r="F697" s="14"/>
      <c r="G697" s="14"/>
    </row>
    <row r="698">
      <c r="A698" s="74"/>
      <c r="B698" s="14"/>
      <c r="C698" s="14"/>
      <c r="D698" s="14"/>
      <c r="E698" s="14"/>
      <c r="F698" s="14"/>
      <c r="G698" s="14"/>
    </row>
    <row r="699">
      <c r="A699" s="74"/>
      <c r="B699" s="14"/>
      <c r="C699" s="14"/>
      <c r="D699" s="14"/>
      <c r="E699" s="14"/>
      <c r="F699" s="14"/>
      <c r="G699" s="14"/>
    </row>
    <row r="700">
      <c r="A700" s="74"/>
      <c r="B700" s="14"/>
      <c r="C700" s="14"/>
      <c r="D700" s="14"/>
      <c r="E700" s="14"/>
      <c r="F700" s="14"/>
      <c r="G700" s="14"/>
    </row>
    <row r="701">
      <c r="A701" s="74"/>
      <c r="B701" s="14"/>
      <c r="C701" s="14"/>
      <c r="D701" s="14"/>
      <c r="E701" s="14"/>
      <c r="F701" s="14"/>
      <c r="G701" s="14"/>
    </row>
    <row r="702">
      <c r="A702" s="74"/>
      <c r="B702" s="14"/>
      <c r="C702" s="14"/>
      <c r="D702" s="14"/>
      <c r="E702" s="14"/>
      <c r="F702" s="14"/>
      <c r="G702" s="14"/>
    </row>
    <row r="703">
      <c r="A703" s="74"/>
      <c r="B703" s="14"/>
      <c r="C703" s="14"/>
      <c r="D703" s="14"/>
      <c r="E703" s="14"/>
      <c r="F703" s="14"/>
      <c r="G703" s="14"/>
    </row>
    <row r="704">
      <c r="A704" s="74"/>
      <c r="B704" s="14"/>
      <c r="C704" s="14"/>
      <c r="D704" s="14"/>
      <c r="E704" s="14"/>
      <c r="F704" s="14"/>
      <c r="G704" s="14"/>
    </row>
    <row r="705">
      <c r="A705" s="74"/>
      <c r="B705" s="14"/>
      <c r="C705" s="14"/>
      <c r="D705" s="14"/>
      <c r="E705" s="14"/>
      <c r="F705" s="14"/>
      <c r="G705" s="14"/>
    </row>
    <row r="706">
      <c r="A706" s="74"/>
      <c r="B706" s="14"/>
      <c r="C706" s="14"/>
      <c r="D706" s="14"/>
      <c r="E706" s="14"/>
      <c r="F706" s="14"/>
      <c r="G706" s="14"/>
    </row>
    <row r="707">
      <c r="A707" s="74"/>
      <c r="B707" s="14"/>
      <c r="C707" s="14"/>
      <c r="D707" s="14"/>
      <c r="E707" s="14"/>
      <c r="F707" s="14"/>
      <c r="G707" s="14"/>
    </row>
    <row r="708">
      <c r="A708" s="74"/>
      <c r="B708" s="14"/>
      <c r="C708" s="14"/>
      <c r="D708" s="14"/>
      <c r="E708" s="14"/>
      <c r="F708" s="14"/>
      <c r="G708" s="14"/>
    </row>
    <row r="709">
      <c r="A709" s="74"/>
      <c r="B709" s="14"/>
      <c r="C709" s="14"/>
      <c r="D709" s="14"/>
      <c r="E709" s="14"/>
      <c r="F709" s="14"/>
      <c r="G709" s="14"/>
    </row>
    <row r="710">
      <c r="A710" s="74"/>
      <c r="B710" s="14"/>
      <c r="C710" s="14"/>
      <c r="D710" s="14"/>
      <c r="E710" s="14"/>
      <c r="F710" s="14"/>
      <c r="G710" s="14"/>
    </row>
    <row r="711">
      <c r="A711" s="74"/>
      <c r="B711" s="14"/>
      <c r="C711" s="14"/>
      <c r="D711" s="14"/>
      <c r="E711" s="14"/>
      <c r="F711" s="14"/>
      <c r="G711" s="14"/>
    </row>
    <row r="712">
      <c r="A712" s="74"/>
      <c r="B712" s="14"/>
      <c r="C712" s="14"/>
      <c r="D712" s="14"/>
      <c r="E712" s="14"/>
      <c r="F712" s="14"/>
      <c r="G712" s="14"/>
    </row>
    <row r="713">
      <c r="A713" s="74"/>
      <c r="B713" s="14"/>
      <c r="C713" s="14"/>
      <c r="D713" s="14"/>
      <c r="E713" s="14"/>
      <c r="F713" s="14"/>
      <c r="G713" s="14"/>
    </row>
    <row r="714">
      <c r="A714" s="74"/>
      <c r="B714" s="14"/>
      <c r="C714" s="14"/>
      <c r="D714" s="14"/>
      <c r="E714" s="14"/>
      <c r="F714" s="14"/>
      <c r="G714" s="14"/>
    </row>
    <row r="715">
      <c r="A715" s="74"/>
      <c r="B715" s="14"/>
      <c r="C715" s="14"/>
      <c r="D715" s="14"/>
      <c r="E715" s="14"/>
      <c r="F715" s="14"/>
      <c r="G715" s="14"/>
    </row>
    <row r="716">
      <c r="A716" s="74"/>
      <c r="B716" s="14"/>
      <c r="C716" s="14"/>
      <c r="D716" s="14"/>
      <c r="E716" s="14"/>
      <c r="F716" s="14"/>
      <c r="G716" s="14"/>
    </row>
    <row r="717">
      <c r="A717" s="74"/>
      <c r="B717" s="14"/>
      <c r="C717" s="14"/>
      <c r="D717" s="14"/>
      <c r="E717" s="14"/>
      <c r="F717" s="14"/>
      <c r="G717" s="14"/>
    </row>
    <row r="718">
      <c r="A718" s="74"/>
      <c r="B718" s="14"/>
      <c r="C718" s="14"/>
      <c r="D718" s="14"/>
      <c r="E718" s="14"/>
      <c r="F718" s="14"/>
      <c r="G718" s="14"/>
    </row>
    <row r="719">
      <c r="A719" s="74"/>
      <c r="B719" s="14"/>
      <c r="C719" s="14"/>
      <c r="D719" s="14"/>
      <c r="E719" s="14"/>
      <c r="F719" s="14"/>
      <c r="G719" s="14"/>
    </row>
    <row r="720">
      <c r="A720" s="74"/>
      <c r="B720" s="14"/>
      <c r="C720" s="14"/>
      <c r="D720" s="14"/>
      <c r="E720" s="14"/>
      <c r="F720" s="14"/>
      <c r="G720" s="14"/>
    </row>
    <row r="721">
      <c r="A721" s="74"/>
      <c r="B721" s="14"/>
      <c r="C721" s="14"/>
      <c r="D721" s="14"/>
      <c r="E721" s="14"/>
      <c r="F721" s="14"/>
      <c r="G721" s="14"/>
    </row>
    <row r="722">
      <c r="A722" s="74"/>
      <c r="B722" s="14"/>
      <c r="C722" s="14"/>
      <c r="D722" s="14"/>
      <c r="E722" s="14"/>
      <c r="F722" s="14"/>
      <c r="G722" s="14"/>
    </row>
    <row r="723">
      <c r="A723" s="74"/>
      <c r="B723" s="14"/>
      <c r="C723" s="14"/>
      <c r="D723" s="14"/>
      <c r="E723" s="14"/>
      <c r="F723" s="14"/>
      <c r="G723" s="14"/>
    </row>
    <row r="724">
      <c r="A724" s="74"/>
      <c r="B724" s="14"/>
      <c r="C724" s="14"/>
      <c r="D724" s="14"/>
      <c r="E724" s="14"/>
      <c r="F724" s="14"/>
      <c r="G724" s="14"/>
    </row>
    <row r="725">
      <c r="A725" s="74"/>
      <c r="B725" s="14"/>
      <c r="C725" s="14"/>
      <c r="D725" s="14"/>
      <c r="E725" s="14"/>
      <c r="F725" s="14"/>
      <c r="G725" s="14"/>
    </row>
    <row r="726">
      <c r="A726" s="74"/>
      <c r="B726" s="14"/>
      <c r="C726" s="14"/>
      <c r="D726" s="14"/>
      <c r="E726" s="14"/>
      <c r="F726" s="14"/>
      <c r="G726" s="14"/>
    </row>
    <row r="727">
      <c r="A727" s="74"/>
      <c r="B727" s="14"/>
      <c r="C727" s="14"/>
      <c r="D727" s="14"/>
      <c r="E727" s="14"/>
      <c r="F727" s="14"/>
      <c r="G727" s="14"/>
    </row>
    <row r="728">
      <c r="A728" s="74"/>
      <c r="B728" s="14"/>
      <c r="C728" s="14"/>
      <c r="D728" s="14"/>
      <c r="E728" s="14"/>
      <c r="F728" s="14"/>
      <c r="G728" s="14"/>
    </row>
    <row r="729">
      <c r="A729" s="74"/>
      <c r="B729" s="14"/>
      <c r="C729" s="14"/>
      <c r="D729" s="14"/>
      <c r="E729" s="14"/>
      <c r="F729" s="14"/>
      <c r="G729" s="14"/>
    </row>
    <row r="730">
      <c r="A730" s="74"/>
      <c r="B730" s="14"/>
      <c r="C730" s="14"/>
      <c r="D730" s="14"/>
      <c r="E730" s="14"/>
      <c r="F730" s="14"/>
      <c r="G730" s="14"/>
    </row>
    <row r="731">
      <c r="A731" s="74"/>
      <c r="B731" s="14"/>
      <c r="C731" s="14"/>
      <c r="D731" s="14"/>
      <c r="E731" s="14"/>
      <c r="F731" s="14"/>
      <c r="G731" s="14"/>
    </row>
    <row r="732">
      <c r="A732" s="74"/>
      <c r="B732" s="14"/>
      <c r="C732" s="14"/>
      <c r="D732" s="14"/>
      <c r="E732" s="14"/>
      <c r="F732" s="14"/>
      <c r="G732" s="14"/>
    </row>
    <row r="733">
      <c r="A733" s="74"/>
      <c r="B733" s="14"/>
      <c r="C733" s="14"/>
      <c r="D733" s="14"/>
      <c r="E733" s="14"/>
      <c r="F733" s="14"/>
      <c r="G733" s="14"/>
    </row>
    <row r="734">
      <c r="A734" s="74"/>
      <c r="B734" s="14"/>
      <c r="C734" s="14"/>
      <c r="D734" s="14"/>
      <c r="E734" s="14"/>
      <c r="F734" s="14"/>
      <c r="G734" s="14"/>
    </row>
    <row r="735">
      <c r="A735" s="74"/>
      <c r="B735" s="14"/>
      <c r="C735" s="14"/>
      <c r="D735" s="14"/>
      <c r="E735" s="14"/>
      <c r="F735" s="14"/>
      <c r="G735" s="14"/>
    </row>
    <row r="736">
      <c r="A736" s="74"/>
      <c r="B736" s="14"/>
      <c r="C736" s="14"/>
      <c r="D736" s="14"/>
      <c r="E736" s="14"/>
      <c r="F736" s="14"/>
      <c r="G736" s="14"/>
    </row>
    <row r="737">
      <c r="A737" s="74"/>
      <c r="B737" s="14"/>
      <c r="C737" s="14"/>
      <c r="D737" s="14"/>
      <c r="E737" s="14"/>
      <c r="F737" s="14"/>
      <c r="G737" s="14"/>
    </row>
    <row r="738">
      <c r="A738" s="74"/>
      <c r="B738" s="14"/>
      <c r="C738" s="14"/>
      <c r="D738" s="14"/>
      <c r="E738" s="14"/>
      <c r="F738" s="14"/>
      <c r="G738" s="14"/>
    </row>
    <row r="739">
      <c r="A739" s="74"/>
      <c r="B739" s="14"/>
      <c r="C739" s="14"/>
      <c r="D739" s="14"/>
      <c r="E739" s="14"/>
      <c r="F739" s="14"/>
      <c r="G739" s="14"/>
    </row>
    <row r="740">
      <c r="A740" s="74"/>
      <c r="B740" s="14"/>
      <c r="C740" s="14"/>
      <c r="D740" s="14"/>
      <c r="E740" s="14"/>
      <c r="F740" s="14"/>
      <c r="G740" s="14"/>
    </row>
    <row r="741">
      <c r="A741" s="74"/>
      <c r="B741" s="14"/>
      <c r="C741" s="14"/>
      <c r="D741" s="14"/>
      <c r="E741" s="14"/>
      <c r="F741" s="14"/>
      <c r="G741" s="14"/>
    </row>
    <row r="742">
      <c r="A742" s="74"/>
      <c r="B742" s="14"/>
      <c r="C742" s="14"/>
      <c r="D742" s="14"/>
      <c r="E742" s="14"/>
      <c r="F742" s="14"/>
      <c r="G742" s="14"/>
    </row>
    <row r="743">
      <c r="A743" s="74"/>
      <c r="B743" s="14"/>
      <c r="C743" s="14"/>
      <c r="D743" s="14"/>
      <c r="E743" s="14"/>
      <c r="F743" s="14"/>
      <c r="G743" s="14"/>
    </row>
    <row r="744">
      <c r="A744" s="74"/>
      <c r="B744" s="14"/>
      <c r="C744" s="14"/>
      <c r="D744" s="14"/>
      <c r="E744" s="14"/>
      <c r="F744" s="14"/>
      <c r="G744" s="14"/>
    </row>
    <row r="745">
      <c r="A745" s="74"/>
      <c r="B745" s="14"/>
      <c r="C745" s="14"/>
      <c r="D745" s="14"/>
      <c r="E745" s="14"/>
      <c r="F745" s="14"/>
      <c r="G745" s="14"/>
    </row>
    <row r="746">
      <c r="A746" s="74"/>
      <c r="B746" s="14"/>
      <c r="C746" s="14"/>
      <c r="D746" s="14"/>
      <c r="E746" s="14"/>
      <c r="F746" s="14"/>
      <c r="G746" s="14"/>
    </row>
    <row r="747">
      <c r="A747" s="74"/>
      <c r="B747" s="14"/>
      <c r="C747" s="14"/>
      <c r="D747" s="14"/>
      <c r="E747" s="14"/>
      <c r="F747" s="14"/>
      <c r="G747" s="14"/>
    </row>
    <row r="748">
      <c r="A748" s="74"/>
      <c r="B748" s="14"/>
      <c r="C748" s="14"/>
      <c r="D748" s="14"/>
      <c r="E748" s="14"/>
      <c r="F748" s="14"/>
      <c r="G748" s="14"/>
    </row>
    <row r="749">
      <c r="A749" s="74"/>
      <c r="B749" s="14"/>
      <c r="C749" s="14"/>
      <c r="D749" s="14"/>
      <c r="E749" s="14"/>
      <c r="F749" s="14"/>
      <c r="G749" s="14"/>
    </row>
    <row r="750">
      <c r="A750" s="74"/>
      <c r="B750" s="14"/>
      <c r="C750" s="14"/>
      <c r="D750" s="14"/>
      <c r="E750" s="14"/>
      <c r="F750" s="14"/>
      <c r="G750" s="14"/>
    </row>
    <row r="751">
      <c r="A751" s="74"/>
      <c r="B751" s="14"/>
      <c r="C751" s="14"/>
      <c r="D751" s="14"/>
      <c r="E751" s="14"/>
      <c r="F751" s="14"/>
      <c r="G751" s="14"/>
    </row>
    <row r="752">
      <c r="A752" s="74"/>
      <c r="B752" s="14"/>
      <c r="C752" s="14"/>
      <c r="D752" s="14"/>
      <c r="E752" s="14"/>
      <c r="F752" s="14"/>
      <c r="G752" s="14"/>
    </row>
    <row r="753">
      <c r="A753" s="74"/>
      <c r="B753" s="14"/>
      <c r="C753" s="14"/>
      <c r="D753" s="14"/>
      <c r="E753" s="14"/>
      <c r="F753" s="14"/>
      <c r="G753" s="14"/>
    </row>
    <row r="754">
      <c r="A754" s="74"/>
      <c r="B754" s="14"/>
      <c r="C754" s="14"/>
      <c r="D754" s="14"/>
      <c r="E754" s="14"/>
      <c r="F754" s="14"/>
      <c r="G754" s="14"/>
    </row>
    <row r="755">
      <c r="A755" s="74"/>
      <c r="B755" s="14"/>
      <c r="C755" s="14"/>
      <c r="D755" s="14"/>
      <c r="E755" s="14"/>
      <c r="F755" s="14"/>
      <c r="G755" s="14"/>
    </row>
    <row r="756">
      <c r="A756" s="74"/>
      <c r="B756" s="14"/>
      <c r="C756" s="14"/>
      <c r="D756" s="14"/>
      <c r="E756" s="14"/>
      <c r="F756" s="14"/>
      <c r="G756" s="14"/>
    </row>
    <row r="757">
      <c r="A757" s="74"/>
      <c r="B757" s="14"/>
      <c r="C757" s="14"/>
      <c r="D757" s="14"/>
      <c r="E757" s="14"/>
      <c r="F757" s="14"/>
      <c r="G757" s="14"/>
    </row>
    <row r="758">
      <c r="A758" s="74"/>
      <c r="B758" s="14"/>
      <c r="C758" s="14"/>
      <c r="D758" s="14"/>
      <c r="E758" s="14"/>
      <c r="F758" s="14"/>
      <c r="G758" s="14"/>
    </row>
    <row r="759">
      <c r="A759" s="74"/>
      <c r="B759" s="14"/>
      <c r="C759" s="14"/>
      <c r="D759" s="14"/>
      <c r="E759" s="14"/>
      <c r="F759" s="14"/>
      <c r="G759" s="14"/>
    </row>
    <row r="760">
      <c r="A760" s="74"/>
      <c r="B760" s="14"/>
      <c r="C760" s="14"/>
      <c r="D760" s="14"/>
      <c r="E760" s="14"/>
      <c r="F760" s="14"/>
      <c r="G760" s="14"/>
    </row>
    <row r="761">
      <c r="A761" s="74"/>
      <c r="B761" s="14"/>
      <c r="C761" s="14"/>
      <c r="D761" s="14"/>
      <c r="E761" s="14"/>
      <c r="F761" s="14"/>
      <c r="G761" s="14"/>
    </row>
    <row r="762">
      <c r="A762" s="74"/>
      <c r="B762" s="14"/>
      <c r="C762" s="14"/>
      <c r="D762" s="14"/>
      <c r="E762" s="14"/>
      <c r="F762" s="14"/>
      <c r="G762" s="14"/>
    </row>
    <row r="763">
      <c r="A763" s="74"/>
      <c r="B763" s="14"/>
      <c r="C763" s="14"/>
      <c r="D763" s="14"/>
      <c r="E763" s="14"/>
      <c r="F763" s="14"/>
      <c r="G763" s="14"/>
    </row>
    <row r="764">
      <c r="A764" s="74"/>
      <c r="B764" s="14"/>
      <c r="C764" s="14"/>
      <c r="D764" s="14"/>
      <c r="E764" s="14"/>
      <c r="F764" s="14"/>
      <c r="G764" s="14"/>
    </row>
    <row r="765">
      <c r="A765" s="74"/>
      <c r="B765" s="14"/>
      <c r="C765" s="14"/>
      <c r="D765" s="14"/>
      <c r="E765" s="14"/>
      <c r="F765" s="14"/>
      <c r="G765" s="14"/>
    </row>
    <row r="766">
      <c r="A766" s="74"/>
      <c r="B766" s="14"/>
      <c r="C766" s="14"/>
      <c r="D766" s="14"/>
      <c r="E766" s="14"/>
      <c r="F766" s="14"/>
      <c r="G766" s="14"/>
    </row>
    <row r="767">
      <c r="A767" s="74"/>
      <c r="B767" s="14"/>
      <c r="C767" s="14"/>
      <c r="D767" s="14"/>
      <c r="E767" s="14"/>
      <c r="F767" s="14"/>
      <c r="G767" s="14"/>
    </row>
    <row r="768">
      <c r="A768" s="74"/>
      <c r="B768" s="14"/>
      <c r="C768" s="14"/>
      <c r="D768" s="14"/>
      <c r="E768" s="14"/>
      <c r="F768" s="14"/>
      <c r="G768" s="14"/>
    </row>
    <row r="769">
      <c r="A769" s="74"/>
      <c r="B769" s="14"/>
      <c r="C769" s="14"/>
      <c r="D769" s="14"/>
      <c r="E769" s="14"/>
      <c r="F769" s="14"/>
      <c r="G769" s="14"/>
    </row>
    <row r="770">
      <c r="A770" s="74"/>
      <c r="B770" s="14"/>
      <c r="C770" s="14"/>
      <c r="D770" s="14"/>
      <c r="E770" s="14"/>
      <c r="F770" s="14"/>
      <c r="G770" s="14"/>
    </row>
    <row r="771">
      <c r="A771" s="74"/>
      <c r="B771" s="14"/>
      <c r="C771" s="14"/>
      <c r="D771" s="14"/>
      <c r="E771" s="14"/>
      <c r="F771" s="14"/>
      <c r="G771" s="14"/>
    </row>
    <row r="772">
      <c r="A772" s="74"/>
      <c r="B772" s="14"/>
      <c r="C772" s="14"/>
      <c r="D772" s="14"/>
      <c r="E772" s="14"/>
      <c r="F772" s="14"/>
      <c r="G772" s="14"/>
    </row>
    <row r="773">
      <c r="A773" s="74"/>
      <c r="B773" s="14"/>
      <c r="C773" s="14"/>
      <c r="D773" s="14"/>
      <c r="E773" s="14"/>
      <c r="F773" s="14"/>
      <c r="G773" s="14"/>
    </row>
    <row r="774">
      <c r="A774" s="74"/>
      <c r="B774" s="14"/>
      <c r="C774" s="14"/>
      <c r="D774" s="14"/>
      <c r="E774" s="14"/>
      <c r="F774" s="14"/>
      <c r="G774" s="14"/>
    </row>
    <row r="775">
      <c r="A775" s="74"/>
      <c r="B775" s="14"/>
      <c r="C775" s="14"/>
      <c r="D775" s="14"/>
      <c r="E775" s="14"/>
      <c r="F775" s="14"/>
      <c r="G775" s="14"/>
    </row>
    <row r="776">
      <c r="A776" s="74"/>
      <c r="B776" s="14"/>
      <c r="C776" s="14"/>
      <c r="D776" s="14"/>
      <c r="E776" s="14"/>
      <c r="F776" s="14"/>
      <c r="G776" s="14"/>
    </row>
    <row r="777">
      <c r="A777" s="74"/>
      <c r="B777" s="14"/>
      <c r="C777" s="14"/>
      <c r="D777" s="14"/>
      <c r="E777" s="14"/>
      <c r="F777" s="14"/>
      <c r="G777" s="14"/>
    </row>
    <row r="778">
      <c r="A778" s="74"/>
      <c r="B778" s="14"/>
      <c r="C778" s="14"/>
      <c r="D778" s="14"/>
      <c r="E778" s="14"/>
      <c r="F778" s="14"/>
      <c r="G778" s="14"/>
    </row>
    <row r="779">
      <c r="A779" s="74"/>
      <c r="B779" s="14"/>
      <c r="C779" s="14"/>
      <c r="D779" s="14"/>
      <c r="E779" s="14"/>
      <c r="F779" s="14"/>
      <c r="G779" s="14"/>
    </row>
    <row r="780">
      <c r="A780" s="74"/>
      <c r="B780" s="14"/>
      <c r="C780" s="14"/>
      <c r="D780" s="14"/>
      <c r="E780" s="14"/>
      <c r="F780" s="14"/>
      <c r="G780" s="14"/>
    </row>
    <row r="781">
      <c r="A781" s="74"/>
      <c r="B781" s="14"/>
      <c r="C781" s="14"/>
      <c r="D781" s="14"/>
      <c r="E781" s="14"/>
      <c r="F781" s="14"/>
      <c r="G781" s="14"/>
    </row>
    <row r="782">
      <c r="A782" s="74"/>
      <c r="B782" s="14"/>
      <c r="C782" s="14"/>
      <c r="D782" s="14"/>
      <c r="E782" s="14"/>
      <c r="F782" s="14"/>
      <c r="G782" s="14"/>
    </row>
    <row r="783">
      <c r="A783" s="74"/>
      <c r="B783" s="14"/>
      <c r="C783" s="14"/>
      <c r="D783" s="14"/>
      <c r="E783" s="14"/>
      <c r="F783" s="14"/>
      <c r="G783" s="14"/>
    </row>
    <row r="784">
      <c r="A784" s="74"/>
      <c r="B784" s="14"/>
      <c r="C784" s="14"/>
      <c r="D784" s="14"/>
      <c r="E784" s="14"/>
      <c r="F784" s="14"/>
      <c r="G784" s="14"/>
    </row>
    <row r="785">
      <c r="A785" s="74"/>
      <c r="B785" s="14"/>
      <c r="C785" s="14"/>
      <c r="D785" s="14"/>
      <c r="E785" s="14"/>
      <c r="F785" s="14"/>
      <c r="G785" s="14"/>
    </row>
    <row r="786">
      <c r="A786" s="74"/>
      <c r="B786" s="14"/>
      <c r="C786" s="14"/>
      <c r="D786" s="14"/>
      <c r="E786" s="14"/>
      <c r="F786" s="14"/>
      <c r="G786" s="14"/>
    </row>
    <row r="787">
      <c r="A787" s="74"/>
      <c r="B787" s="14"/>
      <c r="C787" s="14"/>
      <c r="D787" s="14"/>
      <c r="E787" s="14"/>
      <c r="F787" s="14"/>
      <c r="G787" s="14"/>
    </row>
    <row r="788">
      <c r="A788" s="74"/>
      <c r="B788" s="14"/>
      <c r="C788" s="14"/>
      <c r="D788" s="14"/>
      <c r="E788" s="14"/>
      <c r="F788" s="14"/>
      <c r="G788" s="14"/>
    </row>
    <row r="789">
      <c r="A789" s="74"/>
      <c r="B789" s="14"/>
      <c r="C789" s="14"/>
      <c r="D789" s="14"/>
      <c r="E789" s="14"/>
      <c r="F789" s="14"/>
      <c r="G789" s="14"/>
    </row>
    <row r="790">
      <c r="A790" s="74"/>
      <c r="B790" s="14"/>
      <c r="C790" s="14"/>
      <c r="D790" s="14"/>
      <c r="E790" s="14"/>
      <c r="F790" s="14"/>
      <c r="G790" s="14"/>
    </row>
    <row r="791">
      <c r="A791" s="74"/>
      <c r="B791" s="14"/>
      <c r="C791" s="14"/>
      <c r="D791" s="14"/>
      <c r="E791" s="14"/>
      <c r="F791" s="14"/>
      <c r="G791" s="14"/>
    </row>
    <row r="792">
      <c r="A792" s="74"/>
      <c r="B792" s="14"/>
      <c r="C792" s="14"/>
      <c r="D792" s="14"/>
      <c r="E792" s="14"/>
      <c r="F792" s="14"/>
      <c r="G792" s="14"/>
    </row>
    <row r="793">
      <c r="A793" s="74"/>
      <c r="B793" s="14"/>
      <c r="C793" s="14"/>
      <c r="D793" s="14"/>
      <c r="E793" s="14"/>
      <c r="F793" s="14"/>
      <c r="G793" s="14"/>
    </row>
    <row r="794">
      <c r="A794" s="74"/>
      <c r="B794" s="14"/>
      <c r="C794" s="14"/>
      <c r="D794" s="14"/>
      <c r="E794" s="14"/>
      <c r="F794" s="14"/>
      <c r="G794" s="14"/>
    </row>
    <row r="795">
      <c r="A795" s="74"/>
      <c r="B795" s="14"/>
      <c r="C795" s="14"/>
      <c r="D795" s="14"/>
      <c r="E795" s="14"/>
      <c r="F795" s="14"/>
      <c r="G795" s="14"/>
    </row>
    <row r="796">
      <c r="A796" s="74"/>
      <c r="B796" s="14"/>
      <c r="C796" s="14"/>
      <c r="D796" s="14"/>
      <c r="E796" s="14"/>
      <c r="F796" s="14"/>
      <c r="G796" s="14"/>
    </row>
    <row r="797">
      <c r="A797" s="74"/>
      <c r="B797" s="14"/>
      <c r="C797" s="14"/>
      <c r="D797" s="14"/>
      <c r="E797" s="14"/>
      <c r="F797" s="14"/>
      <c r="G797" s="14"/>
    </row>
    <row r="798">
      <c r="A798" s="74"/>
      <c r="B798" s="14"/>
      <c r="C798" s="14"/>
      <c r="D798" s="14"/>
      <c r="E798" s="14"/>
      <c r="F798" s="14"/>
      <c r="G798" s="14"/>
    </row>
    <row r="799">
      <c r="A799" s="74"/>
      <c r="B799" s="14"/>
      <c r="C799" s="14"/>
      <c r="D799" s="14"/>
      <c r="E799" s="14"/>
      <c r="F799" s="14"/>
      <c r="G799" s="14"/>
    </row>
    <row r="800">
      <c r="A800" s="74"/>
      <c r="B800" s="14"/>
      <c r="C800" s="14"/>
      <c r="D800" s="14"/>
      <c r="E800" s="14"/>
      <c r="F800" s="14"/>
      <c r="G800" s="14"/>
    </row>
    <row r="801">
      <c r="A801" s="74"/>
      <c r="B801" s="14"/>
      <c r="C801" s="14"/>
      <c r="D801" s="14"/>
      <c r="E801" s="14"/>
      <c r="F801" s="14"/>
      <c r="G801" s="14"/>
    </row>
    <row r="802">
      <c r="A802" s="74"/>
      <c r="B802" s="14"/>
      <c r="C802" s="14"/>
      <c r="D802" s="14"/>
      <c r="E802" s="14"/>
      <c r="F802" s="14"/>
      <c r="G802" s="14"/>
    </row>
    <row r="803">
      <c r="A803" s="74"/>
      <c r="B803" s="14"/>
      <c r="C803" s="14"/>
      <c r="D803" s="14"/>
      <c r="E803" s="14"/>
      <c r="F803" s="14"/>
      <c r="G803" s="14"/>
    </row>
    <row r="804">
      <c r="A804" s="74"/>
      <c r="B804" s="14"/>
      <c r="C804" s="14"/>
      <c r="D804" s="14"/>
      <c r="E804" s="14"/>
      <c r="F804" s="14"/>
      <c r="G804" s="14"/>
    </row>
    <row r="805">
      <c r="A805" s="74"/>
      <c r="B805" s="14"/>
      <c r="C805" s="14"/>
      <c r="D805" s="14"/>
      <c r="E805" s="14"/>
      <c r="F805" s="14"/>
      <c r="G805" s="14"/>
    </row>
    <row r="806">
      <c r="A806" s="74"/>
      <c r="B806" s="14"/>
      <c r="C806" s="14"/>
      <c r="D806" s="14"/>
      <c r="E806" s="14"/>
      <c r="F806" s="14"/>
      <c r="G806" s="14"/>
    </row>
    <row r="807">
      <c r="A807" s="74"/>
      <c r="B807" s="14"/>
      <c r="C807" s="14"/>
      <c r="D807" s="14"/>
      <c r="E807" s="14"/>
      <c r="F807" s="14"/>
      <c r="G807" s="14"/>
    </row>
    <row r="808">
      <c r="A808" s="74"/>
      <c r="B808" s="14"/>
      <c r="C808" s="14"/>
      <c r="D808" s="14"/>
      <c r="E808" s="14"/>
      <c r="F808" s="14"/>
      <c r="G808" s="14"/>
    </row>
    <row r="809">
      <c r="A809" s="74"/>
      <c r="B809" s="14"/>
      <c r="C809" s="14"/>
      <c r="D809" s="14"/>
      <c r="E809" s="14"/>
      <c r="F809" s="14"/>
      <c r="G809" s="14"/>
    </row>
    <row r="810">
      <c r="A810" s="74"/>
      <c r="B810" s="14"/>
      <c r="C810" s="14"/>
      <c r="D810" s="14"/>
      <c r="E810" s="14"/>
      <c r="F810" s="14"/>
      <c r="G810" s="14"/>
    </row>
    <row r="811">
      <c r="A811" s="74"/>
      <c r="B811" s="14"/>
      <c r="C811" s="14"/>
      <c r="D811" s="14"/>
      <c r="E811" s="14"/>
      <c r="F811" s="14"/>
      <c r="G811" s="14"/>
    </row>
    <row r="812">
      <c r="A812" s="74"/>
      <c r="B812" s="14"/>
      <c r="C812" s="14"/>
      <c r="D812" s="14"/>
      <c r="E812" s="14"/>
      <c r="F812" s="14"/>
      <c r="G812" s="14"/>
    </row>
    <row r="813">
      <c r="A813" s="74"/>
      <c r="B813" s="14"/>
      <c r="C813" s="14"/>
      <c r="D813" s="14"/>
      <c r="E813" s="14"/>
      <c r="F813" s="14"/>
      <c r="G813" s="14"/>
    </row>
    <row r="814">
      <c r="A814" s="74"/>
      <c r="B814" s="14"/>
      <c r="C814" s="14"/>
      <c r="D814" s="14"/>
      <c r="E814" s="14"/>
      <c r="F814" s="14"/>
      <c r="G814" s="14"/>
    </row>
    <row r="815">
      <c r="A815" s="74"/>
      <c r="B815" s="14"/>
      <c r="C815" s="14"/>
      <c r="D815" s="14"/>
      <c r="E815" s="14"/>
      <c r="F815" s="14"/>
      <c r="G815" s="14"/>
    </row>
    <row r="816">
      <c r="A816" s="74"/>
      <c r="B816" s="14"/>
      <c r="C816" s="14"/>
      <c r="D816" s="14"/>
      <c r="E816" s="14"/>
      <c r="F816" s="14"/>
      <c r="G816" s="14"/>
    </row>
    <row r="817">
      <c r="A817" s="74"/>
      <c r="B817" s="14"/>
      <c r="C817" s="14"/>
      <c r="D817" s="14"/>
      <c r="E817" s="14"/>
      <c r="F817" s="14"/>
      <c r="G817" s="14"/>
    </row>
    <row r="818">
      <c r="A818" s="74"/>
      <c r="B818" s="14"/>
      <c r="C818" s="14"/>
      <c r="D818" s="14"/>
      <c r="E818" s="14"/>
      <c r="F818" s="14"/>
      <c r="G818" s="14"/>
    </row>
    <row r="819">
      <c r="A819" s="74"/>
      <c r="B819" s="14"/>
      <c r="C819" s="14"/>
      <c r="D819" s="14"/>
      <c r="E819" s="14"/>
      <c r="F819" s="14"/>
      <c r="G819" s="14"/>
    </row>
    <row r="820">
      <c r="A820" s="74"/>
      <c r="B820" s="14"/>
      <c r="C820" s="14"/>
      <c r="D820" s="14"/>
      <c r="E820" s="14"/>
      <c r="F820" s="14"/>
      <c r="G820" s="14"/>
    </row>
    <row r="821">
      <c r="A821" s="74"/>
      <c r="B821" s="14"/>
      <c r="C821" s="14"/>
      <c r="D821" s="14"/>
      <c r="E821" s="14"/>
      <c r="F821" s="14"/>
      <c r="G821" s="14"/>
    </row>
    <row r="822">
      <c r="A822" s="74"/>
      <c r="B822" s="14"/>
      <c r="C822" s="14"/>
      <c r="D822" s="14"/>
      <c r="E822" s="14"/>
      <c r="F822" s="14"/>
      <c r="G822" s="14"/>
    </row>
    <row r="823">
      <c r="A823" s="74"/>
      <c r="B823" s="14"/>
      <c r="C823" s="14"/>
      <c r="D823" s="14"/>
      <c r="E823" s="14"/>
      <c r="F823" s="14"/>
      <c r="G823" s="14"/>
    </row>
    <row r="824">
      <c r="A824" s="74"/>
      <c r="B824" s="14"/>
      <c r="C824" s="14"/>
      <c r="D824" s="14"/>
      <c r="E824" s="14"/>
      <c r="F824" s="14"/>
      <c r="G824" s="14"/>
    </row>
    <row r="825">
      <c r="A825" s="74"/>
      <c r="B825" s="14"/>
      <c r="C825" s="14"/>
      <c r="D825" s="14"/>
      <c r="E825" s="14"/>
      <c r="F825" s="14"/>
      <c r="G825" s="14"/>
    </row>
    <row r="826">
      <c r="A826" s="74"/>
      <c r="B826" s="14"/>
      <c r="C826" s="14"/>
      <c r="D826" s="14"/>
      <c r="E826" s="14"/>
      <c r="F826" s="14"/>
      <c r="G826" s="14"/>
    </row>
    <row r="827">
      <c r="A827" s="74"/>
      <c r="B827" s="14"/>
      <c r="C827" s="14"/>
      <c r="D827" s="14"/>
      <c r="E827" s="14"/>
      <c r="F827" s="14"/>
      <c r="G827" s="14"/>
    </row>
    <row r="828">
      <c r="A828" s="74"/>
      <c r="B828" s="14"/>
      <c r="C828" s="14"/>
      <c r="D828" s="14"/>
      <c r="E828" s="14"/>
      <c r="F828" s="14"/>
      <c r="G828" s="14"/>
    </row>
    <row r="829">
      <c r="A829" s="74"/>
      <c r="B829" s="14"/>
      <c r="C829" s="14"/>
      <c r="D829" s="14"/>
      <c r="E829" s="14"/>
      <c r="F829" s="14"/>
      <c r="G829" s="14"/>
    </row>
    <row r="830">
      <c r="A830" s="74"/>
      <c r="B830" s="14"/>
      <c r="C830" s="14"/>
      <c r="D830" s="14"/>
      <c r="E830" s="14"/>
      <c r="F830" s="14"/>
      <c r="G830" s="14"/>
    </row>
    <row r="831">
      <c r="A831" s="74"/>
      <c r="B831" s="14"/>
      <c r="C831" s="14"/>
      <c r="D831" s="14"/>
      <c r="E831" s="14"/>
      <c r="F831" s="14"/>
      <c r="G831" s="14"/>
    </row>
    <row r="832">
      <c r="A832" s="74"/>
      <c r="B832" s="14"/>
      <c r="C832" s="14"/>
      <c r="D832" s="14"/>
      <c r="E832" s="14"/>
      <c r="F832" s="14"/>
      <c r="G832" s="14"/>
    </row>
    <row r="833">
      <c r="A833" s="74"/>
      <c r="B833" s="14"/>
      <c r="C833" s="14"/>
      <c r="D833" s="14"/>
      <c r="E833" s="14"/>
      <c r="F833" s="14"/>
      <c r="G833" s="14"/>
    </row>
    <row r="834">
      <c r="A834" s="74"/>
      <c r="B834" s="14"/>
      <c r="C834" s="14"/>
      <c r="D834" s="14"/>
      <c r="E834" s="14"/>
      <c r="F834" s="14"/>
      <c r="G834" s="14"/>
    </row>
    <row r="835">
      <c r="A835" s="74"/>
      <c r="B835" s="14"/>
      <c r="C835" s="14"/>
      <c r="D835" s="14"/>
      <c r="E835" s="14"/>
      <c r="F835" s="14"/>
      <c r="G835" s="14"/>
    </row>
    <row r="836">
      <c r="A836" s="74"/>
      <c r="B836" s="14"/>
      <c r="C836" s="14"/>
      <c r="D836" s="14"/>
      <c r="E836" s="14"/>
      <c r="F836" s="14"/>
      <c r="G836" s="14"/>
    </row>
    <row r="837">
      <c r="A837" s="74"/>
      <c r="B837" s="14"/>
      <c r="C837" s="14"/>
      <c r="D837" s="14"/>
      <c r="E837" s="14"/>
      <c r="F837" s="14"/>
      <c r="G837" s="14"/>
    </row>
    <row r="838">
      <c r="A838" s="74"/>
      <c r="B838" s="14"/>
      <c r="C838" s="14"/>
      <c r="D838" s="14"/>
      <c r="E838" s="14"/>
      <c r="F838" s="14"/>
      <c r="G838" s="14"/>
    </row>
    <row r="839">
      <c r="A839" s="74"/>
      <c r="B839" s="14"/>
      <c r="C839" s="14"/>
      <c r="D839" s="14"/>
      <c r="E839" s="14"/>
      <c r="F839" s="14"/>
      <c r="G839" s="14"/>
    </row>
    <row r="840">
      <c r="A840" s="74"/>
      <c r="B840" s="14"/>
      <c r="C840" s="14"/>
      <c r="D840" s="14"/>
      <c r="E840" s="14"/>
      <c r="F840" s="14"/>
      <c r="G840" s="14"/>
    </row>
    <row r="841">
      <c r="A841" s="74"/>
      <c r="B841" s="14"/>
      <c r="C841" s="14"/>
      <c r="D841" s="14"/>
      <c r="E841" s="14"/>
      <c r="F841" s="14"/>
      <c r="G841" s="14"/>
    </row>
    <row r="842">
      <c r="A842" s="74"/>
      <c r="B842" s="14"/>
      <c r="C842" s="14"/>
      <c r="D842" s="14"/>
      <c r="E842" s="14"/>
      <c r="F842" s="14"/>
      <c r="G842" s="14"/>
    </row>
    <row r="843">
      <c r="A843" s="74"/>
      <c r="B843" s="14"/>
      <c r="C843" s="14"/>
      <c r="D843" s="14"/>
      <c r="E843" s="14"/>
      <c r="F843" s="14"/>
      <c r="G843" s="14"/>
    </row>
    <row r="844">
      <c r="A844" s="74"/>
      <c r="B844" s="14"/>
      <c r="C844" s="14"/>
      <c r="D844" s="14"/>
      <c r="E844" s="14"/>
      <c r="F844" s="14"/>
      <c r="G844" s="14"/>
    </row>
    <row r="845">
      <c r="A845" s="74"/>
      <c r="B845" s="14"/>
      <c r="C845" s="14"/>
      <c r="D845" s="14"/>
      <c r="E845" s="14"/>
      <c r="F845" s="14"/>
      <c r="G845" s="14"/>
    </row>
    <row r="846">
      <c r="A846" s="74"/>
      <c r="B846" s="14"/>
      <c r="C846" s="14"/>
      <c r="D846" s="14"/>
      <c r="E846" s="14"/>
      <c r="F846" s="14"/>
      <c r="G846" s="14"/>
    </row>
    <row r="847">
      <c r="A847" s="74"/>
      <c r="B847" s="14"/>
      <c r="C847" s="14"/>
      <c r="D847" s="14"/>
      <c r="E847" s="14"/>
      <c r="F847" s="14"/>
      <c r="G847" s="14"/>
    </row>
    <row r="848">
      <c r="A848" s="74"/>
      <c r="B848" s="14"/>
      <c r="C848" s="14"/>
      <c r="D848" s="14"/>
      <c r="E848" s="14"/>
      <c r="F848" s="14"/>
      <c r="G848" s="14"/>
    </row>
    <row r="849">
      <c r="A849" s="74"/>
      <c r="B849" s="14"/>
      <c r="C849" s="14"/>
      <c r="D849" s="14"/>
      <c r="E849" s="14"/>
      <c r="F849" s="14"/>
      <c r="G849" s="14"/>
    </row>
    <row r="850">
      <c r="A850" s="74"/>
      <c r="B850" s="14"/>
      <c r="C850" s="14"/>
      <c r="D850" s="14"/>
      <c r="E850" s="14"/>
      <c r="F850" s="14"/>
      <c r="G850" s="14"/>
    </row>
    <row r="851">
      <c r="A851" s="74"/>
      <c r="B851" s="14"/>
      <c r="C851" s="14"/>
      <c r="D851" s="14"/>
      <c r="E851" s="14"/>
      <c r="F851" s="14"/>
      <c r="G851" s="14"/>
    </row>
    <row r="852">
      <c r="A852" s="74"/>
      <c r="B852" s="14"/>
      <c r="C852" s="14"/>
      <c r="D852" s="14"/>
      <c r="E852" s="14"/>
      <c r="F852" s="14"/>
      <c r="G852" s="14"/>
    </row>
    <row r="853">
      <c r="A853" s="74"/>
      <c r="B853" s="14"/>
      <c r="C853" s="14"/>
      <c r="D853" s="14"/>
      <c r="E853" s="14"/>
      <c r="F853" s="14"/>
      <c r="G853" s="14"/>
    </row>
    <row r="854">
      <c r="A854" s="74"/>
      <c r="B854" s="14"/>
      <c r="C854" s="14"/>
      <c r="D854" s="14"/>
      <c r="E854" s="14"/>
      <c r="F854" s="14"/>
      <c r="G854" s="14"/>
    </row>
    <row r="855">
      <c r="A855" s="74"/>
      <c r="B855" s="14"/>
      <c r="C855" s="14"/>
      <c r="D855" s="14"/>
      <c r="E855" s="14"/>
      <c r="F855" s="14"/>
      <c r="G855" s="14"/>
    </row>
    <row r="856">
      <c r="A856" s="74"/>
      <c r="B856" s="14"/>
      <c r="C856" s="14"/>
      <c r="D856" s="14"/>
      <c r="E856" s="14"/>
      <c r="F856" s="14"/>
      <c r="G856" s="14"/>
    </row>
    <row r="857">
      <c r="A857" s="74"/>
      <c r="B857" s="14"/>
      <c r="C857" s="14"/>
      <c r="D857" s="14"/>
      <c r="E857" s="14"/>
      <c r="F857" s="14"/>
      <c r="G857" s="14"/>
    </row>
    <row r="858">
      <c r="A858" s="74"/>
      <c r="B858" s="14"/>
      <c r="C858" s="14"/>
      <c r="D858" s="14"/>
      <c r="E858" s="14"/>
      <c r="F858" s="14"/>
      <c r="G858" s="14"/>
    </row>
    <row r="859">
      <c r="A859" s="74"/>
      <c r="B859" s="14"/>
      <c r="C859" s="14"/>
      <c r="D859" s="14"/>
      <c r="E859" s="14"/>
      <c r="F859" s="14"/>
      <c r="G859" s="14"/>
    </row>
    <row r="860">
      <c r="A860" s="74"/>
      <c r="B860" s="14"/>
      <c r="C860" s="14"/>
      <c r="D860" s="14"/>
      <c r="E860" s="14"/>
      <c r="F860" s="14"/>
      <c r="G860" s="14"/>
    </row>
    <row r="861">
      <c r="A861" s="74"/>
      <c r="B861" s="14"/>
      <c r="C861" s="14"/>
      <c r="D861" s="14"/>
      <c r="E861" s="14"/>
      <c r="F861" s="14"/>
      <c r="G861" s="14"/>
    </row>
    <row r="862">
      <c r="A862" s="74"/>
      <c r="B862" s="14"/>
      <c r="C862" s="14"/>
      <c r="D862" s="14"/>
      <c r="E862" s="14"/>
      <c r="F862" s="14"/>
      <c r="G862" s="14"/>
    </row>
    <row r="863">
      <c r="A863" s="74"/>
      <c r="B863" s="14"/>
      <c r="C863" s="14"/>
      <c r="D863" s="14"/>
      <c r="E863" s="14"/>
      <c r="F863" s="14"/>
      <c r="G863" s="14"/>
    </row>
    <row r="864">
      <c r="A864" s="74"/>
      <c r="B864" s="14"/>
      <c r="C864" s="14"/>
      <c r="D864" s="14"/>
      <c r="E864" s="14"/>
      <c r="F864" s="14"/>
      <c r="G864" s="14"/>
    </row>
    <row r="865">
      <c r="A865" s="74"/>
      <c r="B865" s="14"/>
      <c r="C865" s="14"/>
      <c r="D865" s="14"/>
      <c r="E865" s="14"/>
      <c r="F865" s="14"/>
      <c r="G865" s="14"/>
    </row>
    <row r="866">
      <c r="A866" s="74"/>
      <c r="B866" s="14"/>
      <c r="C866" s="14"/>
      <c r="D866" s="14"/>
      <c r="E866" s="14"/>
      <c r="F866" s="14"/>
      <c r="G866" s="14"/>
    </row>
    <row r="867">
      <c r="A867" s="74"/>
      <c r="B867" s="14"/>
      <c r="C867" s="14"/>
      <c r="D867" s="14"/>
      <c r="E867" s="14"/>
      <c r="F867" s="14"/>
      <c r="G867" s="14"/>
    </row>
    <row r="868">
      <c r="A868" s="74"/>
      <c r="B868" s="14"/>
      <c r="C868" s="14"/>
      <c r="D868" s="14"/>
      <c r="E868" s="14"/>
      <c r="F868" s="14"/>
      <c r="G868" s="14"/>
    </row>
    <row r="869">
      <c r="A869" s="74"/>
      <c r="B869" s="14"/>
      <c r="C869" s="14"/>
      <c r="D869" s="14"/>
      <c r="E869" s="14"/>
      <c r="F869" s="14"/>
      <c r="G869" s="14"/>
    </row>
    <row r="870">
      <c r="A870" s="74"/>
      <c r="B870" s="14"/>
      <c r="C870" s="14"/>
      <c r="D870" s="14"/>
      <c r="E870" s="14"/>
      <c r="F870" s="14"/>
      <c r="G870" s="14"/>
    </row>
    <row r="871">
      <c r="A871" s="74"/>
      <c r="B871" s="14"/>
      <c r="C871" s="14"/>
      <c r="D871" s="14"/>
      <c r="E871" s="14"/>
      <c r="F871" s="14"/>
      <c r="G871" s="14"/>
    </row>
    <row r="872">
      <c r="A872" s="74"/>
      <c r="B872" s="14"/>
      <c r="C872" s="14"/>
      <c r="D872" s="14"/>
      <c r="E872" s="14"/>
      <c r="F872" s="14"/>
      <c r="G872" s="14"/>
    </row>
    <row r="873">
      <c r="A873" s="74"/>
      <c r="B873" s="14"/>
      <c r="C873" s="14"/>
      <c r="D873" s="14"/>
      <c r="E873" s="14"/>
      <c r="F873" s="14"/>
      <c r="G873" s="14"/>
    </row>
    <row r="874">
      <c r="A874" s="74"/>
      <c r="B874" s="14"/>
      <c r="C874" s="14"/>
      <c r="D874" s="14"/>
      <c r="E874" s="14"/>
      <c r="F874" s="14"/>
      <c r="G874" s="14"/>
    </row>
    <row r="875">
      <c r="A875" s="74"/>
      <c r="B875" s="14"/>
      <c r="C875" s="14"/>
      <c r="D875" s="14"/>
      <c r="E875" s="14"/>
      <c r="F875" s="14"/>
      <c r="G875" s="14"/>
    </row>
    <row r="876">
      <c r="A876" s="74"/>
      <c r="B876" s="14"/>
      <c r="C876" s="14"/>
      <c r="D876" s="14"/>
      <c r="E876" s="14"/>
      <c r="F876" s="14"/>
      <c r="G876" s="14"/>
    </row>
    <row r="877">
      <c r="A877" s="74"/>
      <c r="B877" s="14"/>
      <c r="C877" s="14"/>
      <c r="D877" s="14"/>
      <c r="E877" s="14"/>
      <c r="F877" s="14"/>
      <c r="G877" s="14"/>
    </row>
    <row r="878">
      <c r="A878" s="74"/>
      <c r="B878" s="14"/>
      <c r="C878" s="14"/>
      <c r="D878" s="14"/>
      <c r="E878" s="14"/>
      <c r="F878" s="14"/>
      <c r="G878" s="14"/>
    </row>
    <row r="879">
      <c r="A879" s="74"/>
      <c r="B879" s="14"/>
      <c r="C879" s="14"/>
      <c r="D879" s="14"/>
      <c r="E879" s="14"/>
      <c r="F879" s="14"/>
      <c r="G879" s="14"/>
    </row>
    <row r="880">
      <c r="A880" s="74"/>
      <c r="B880" s="14"/>
      <c r="C880" s="14"/>
      <c r="D880" s="14"/>
      <c r="E880" s="14"/>
      <c r="F880" s="14"/>
      <c r="G880" s="14"/>
    </row>
    <row r="881">
      <c r="A881" s="74"/>
      <c r="B881" s="14"/>
      <c r="C881" s="14"/>
      <c r="D881" s="14"/>
      <c r="E881" s="14"/>
      <c r="F881" s="14"/>
      <c r="G881" s="14"/>
    </row>
    <row r="882">
      <c r="A882" s="74"/>
      <c r="B882" s="14"/>
      <c r="C882" s="14"/>
      <c r="D882" s="14"/>
      <c r="E882" s="14"/>
      <c r="F882" s="14"/>
      <c r="G882" s="14"/>
    </row>
    <row r="883">
      <c r="A883" s="74"/>
      <c r="B883" s="14"/>
      <c r="C883" s="14"/>
      <c r="D883" s="14"/>
      <c r="E883" s="14"/>
      <c r="F883" s="14"/>
      <c r="G883" s="14"/>
    </row>
    <row r="884">
      <c r="A884" s="74"/>
      <c r="B884" s="14"/>
      <c r="C884" s="14"/>
      <c r="D884" s="14"/>
      <c r="E884" s="14"/>
      <c r="F884" s="14"/>
      <c r="G884" s="14"/>
    </row>
    <row r="885">
      <c r="A885" s="74"/>
      <c r="B885" s="14"/>
      <c r="C885" s="14"/>
      <c r="D885" s="14"/>
      <c r="E885" s="14"/>
      <c r="F885" s="14"/>
      <c r="G885" s="14"/>
    </row>
    <row r="886">
      <c r="A886" s="74"/>
      <c r="B886" s="14"/>
      <c r="C886" s="14"/>
      <c r="D886" s="14"/>
      <c r="E886" s="14"/>
      <c r="F886" s="14"/>
      <c r="G886" s="14"/>
    </row>
    <row r="887">
      <c r="A887" s="74"/>
      <c r="B887" s="14"/>
      <c r="C887" s="14"/>
      <c r="D887" s="14"/>
      <c r="E887" s="14"/>
      <c r="F887" s="14"/>
      <c r="G887" s="14"/>
    </row>
    <row r="888">
      <c r="A888" s="74"/>
      <c r="B888" s="14"/>
      <c r="C888" s="14"/>
      <c r="D888" s="14"/>
      <c r="E888" s="14"/>
      <c r="F888" s="14"/>
      <c r="G888" s="14"/>
    </row>
    <row r="889">
      <c r="A889" s="74"/>
      <c r="B889" s="14"/>
      <c r="C889" s="14"/>
      <c r="D889" s="14"/>
      <c r="E889" s="14"/>
      <c r="F889" s="14"/>
      <c r="G889" s="14"/>
    </row>
    <row r="890">
      <c r="A890" s="74"/>
      <c r="B890" s="14"/>
      <c r="C890" s="14"/>
      <c r="D890" s="14"/>
      <c r="E890" s="14"/>
      <c r="F890" s="14"/>
      <c r="G890" s="14"/>
    </row>
    <row r="891">
      <c r="A891" s="74"/>
      <c r="B891" s="14"/>
      <c r="C891" s="14"/>
      <c r="D891" s="14"/>
      <c r="E891" s="14"/>
      <c r="F891" s="14"/>
      <c r="G891" s="14"/>
    </row>
    <row r="892">
      <c r="A892" s="74"/>
      <c r="B892" s="14"/>
      <c r="C892" s="14"/>
      <c r="D892" s="14"/>
      <c r="E892" s="14"/>
      <c r="F892" s="14"/>
      <c r="G892" s="14"/>
    </row>
    <row r="893">
      <c r="A893" s="74"/>
      <c r="B893" s="14"/>
      <c r="C893" s="14"/>
      <c r="D893" s="14"/>
      <c r="E893" s="14"/>
      <c r="F893" s="14"/>
      <c r="G893" s="14"/>
    </row>
    <row r="894">
      <c r="A894" s="74"/>
      <c r="B894" s="14"/>
      <c r="C894" s="14"/>
      <c r="D894" s="14"/>
      <c r="E894" s="14"/>
      <c r="F894" s="14"/>
      <c r="G894" s="14"/>
    </row>
    <row r="895">
      <c r="A895" s="74"/>
      <c r="B895" s="14"/>
      <c r="C895" s="14"/>
      <c r="D895" s="14"/>
      <c r="E895" s="14"/>
      <c r="F895" s="14"/>
      <c r="G895" s="14"/>
    </row>
    <row r="896">
      <c r="A896" s="74"/>
      <c r="B896" s="14"/>
      <c r="C896" s="14"/>
      <c r="D896" s="14"/>
      <c r="E896" s="14"/>
      <c r="F896" s="14"/>
      <c r="G896" s="14"/>
    </row>
    <row r="897">
      <c r="A897" s="74"/>
      <c r="B897" s="14"/>
      <c r="C897" s="14"/>
      <c r="D897" s="14"/>
      <c r="E897" s="14"/>
      <c r="F897" s="14"/>
      <c r="G897" s="14"/>
    </row>
    <row r="898">
      <c r="A898" s="74"/>
      <c r="B898" s="14"/>
      <c r="C898" s="14"/>
      <c r="D898" s="14"/>
      <c r="E898" s="14"/>
      <c r="F898" s="14"/>
      <c r="G898" s="14"/>
    </row>
    <row r="899">
      <c r="A899" s="74"/>
      <c r="B899" s="14"/>
      <c r="C899" s="14"/>
      <c r="D899" s="14"/>
      <c r="E899" s="14"/>
      <c r="F899" s="14"/>
      <c r="G899" s="14"/>
    </row>
    <row r="900">
      <c r="A900" s="74"/>
      <c r="B900" s="14"/>
      <c r="C900" s="14"/>
      <c r="D900" s="14"/>
      <c r="E900" s="14"/>
      <c r="F900" s="14"/>
      <c r="G900" s="14"/>
    </row>
    <row r="901">
      <c r="A901" s="74"/>
      <c r="B901" s="14"/>
      <c r="C901" s="14"/>
      <c r="D901" s="14"/>
      <c r="E901" s="14"/>
      <c r="F901" s="14"/>
      <c r="G901" s="14"/>
    </row>
    <row r="902">
      <c r="A902" s="74"/>
      <c r="B902" s="14"/>
      <c r="C902" s="14"/>
      <c r="D902" s="14"/>
      <c r="E902" s="14"/>
      <c r="F902" s="14"/>
      <c r="G902" s="14"/>
    </row>
    <row r="903">
      <c r="A903" s="74"/>
      <c r="B903" s="14"/>
      <c r="C903" s="14"/>
      <c r="D903" s="14"/>
      <c r="E903" s="14"/>
      <c r="F903" s="14"/>
      <c r="G903" s="14"/>
    </row>
    <row r="904">
      <c r="A904" s="74"/>
      <c r="B904" s="14"/>
      <c r="C904" s="14"/>
      <c r="D904" s="14"/>
      <c r="E904" s="14"/>
      <c r="F904" s="14"/>
      <c r="G904" s="14"/>
    </row>
    <row r="905">
      <c r="A905" s="74"/>
      <c r="B905" s="14"/>
      <c r="C905" s="14"/>
      <c r="D905" s="14"/>
      <c r="E905" s="14"/>
      <c r="F905" s="14"/>
      <c r="G905" s="14"/>
    </row>
    <row r="906">
      <c r="A906" s="74"/>
      <c r="B906" s="14"/>
      <c r="C906" s="14"/>
      <c r="D906" s="14"/>
      <c r="E906" s="14"/>
      <c r="F906" s="14"/>
      <c r="G906" s="14"/>
    </row>
    <row r="907">
      <c r="A907" s="74"/>
      <c r="B907" s="14"/>
      <c r="C907" s="14"/>
      <c r="D907" s="14"/>
      <c r="E907" s="14"/>
      <c r="F907" s="14"/>
      <c r="G907" s="14"/>
    </row>
    <row r="908">
      <c r="A908" s="74"/>
      <c r="B908" s="14"/>
      <c r="C908" s="14"/>
      <c r="D908" s="14"/>
      <c r="E908" s="14"/>
      <c r="F908" s="14"/>
      <c r="G908" s="14"/>
    </row>
    <row r="909">
      <c r="A909" s="74"/>
      <c r="B909" s="14"/>
      <c r="C909" s="14"/>
      <c r="D909" s="14"/>
      <c r="E909" s="14"/>
      <c r="F909" s="14"/>
      <c r="G909" s="14"/>
    </row>
    <row r="910">
      <c r="A910" s="74"/>
      <c r="B910" s="14"/>
      <c r="C910" s="14"/>
      <c r="D910" s="14"/>
      <c r="E910" s="14"/>
      <c r="F910" s="14"/>
      <c r="G910" s="14"/>
    </row>
    <row r="911">
      <c r="A911" s="74"/>
      <c r="B911" s="14"/>
      <c r="C911" s="14"/>
      <c r="D911" s="14"/>
      <c r="E911" s="14"/>
      <c r="F911" s="14"/>
      <c r="G911" s="14"/>
    </row>
    <row r="912">
      <c r="A912" s="74"/>
      <c r="B912" s="14"/>
      <c r="C912" s="14"/>
      <c r="D912" s="14"/>
      <c r="E912" s="14"/>
      <c r="F912" s="14"/>
      <c r="G912" s="14"/>
    </row>
    <row r="913">
      <c r="A913" s="74"/>
      <c r="B913" s="14"/>
      <c r="C913" s="14"/>
      <c r="D913" s="14"/>
      <c r="E913" s="14"/>
      <c r="F913" s="14"/>
      <c r="G913" s="14"/>
    </row>
    <row r="914">
      <c r="A914" s="74"/>
      <c r="B914" s="14"/>
      <c r="C914" s="14"/>
      <c r="D914" s="14"/>
      <c r="E914" s="14"/>
      <c r="F914" s="14"/>
      <c r="G914" s="14"/>
    </row>
    <row r="915">
      <c r="A915" s="74"/>
      <c r="B915" s="14"/>
      <c r="C915" s="14"/>
      <c r="D915" s="14"/>
      <c r="E915" s="14"/>
      <c r="F915" s="14"/>
      <c r="G915" s="14"/>
    </row>
    <row r="916">
      <c r="A916" s="74"/>
      <c r="B916" s="14"/>
      <c r="C916" s="14"/>
      <c r="D916" s="14"/>
      <c r="E916" s="14"/>
      <c r="F916" s="14"/>
      <c r="G916" s="14"/>
    </row>
    <row r="917">
      <c r="A917" s="74"/>
      <c r="B917" s="14"/>
      <c r="C917" s="14"/>
      <c r="D917" s="14"/>
      <c r="E917" s="14"/>
      <c r="F917" s="14"/>
      <c r="G917" s="14"/>
    </row>
    <row r="918">
      <c r="A918" s="74"/>
      <c r="B918" s="14"/>
      <c r="C918" s="14"/>
      <c r="D918" s="14"/>
      <c r="E918" s="14"/>
      <c r="F918" s="14"/>
      <c r="G918" s="14"/>
    </row>
    <row r="919">
      <c r="A919" s="74"/>
      <c r="B919" s="14"/>
      <c r="C919" s="14"/>
      <c r="D919" s="14"/>
      <c r="E919" s="14"/>
      <c r="F919" s="14"/>
      <c r="G919" s="14"/>
    </row>
    <row r="920">
      <c r="A920" s="74"/>
      <c r="B920" s="14"/>
      <c r="C920" s="14"/>
      <c r="D920" s="14"/>
      <c r="E920" s="14"/>
      <c r="F920" s="14"/>
      <c r="G920" s="14"/>
    </row>
    <row r="921">
      <c r="A921" s="74"/>
      <c r="B921" s="14"/>
      <c r="C921" s="14"/>
      <c r="D921" s="14"/>
      <c r="E921" s="14"/>
      <c r="F921" s="14"/>
      <c r="G921" s="14"/>
    </row>
    <row r="922">
      <c r="A922" s="74"/>
      <c r="B922" s="14"/>
      <c r="C922" s="14"/>
      <c r="D922" s="14"/>
      <c r="E922" s="14"/>
      <c r="F922" s="14"/>
      <c r="G922" s="14"/>
    </row>
    <row r="923">
      <c r="A923" s="74"/>
      <c r="B923" s="14"/>
      <c r="C923" s="14"/>
      <c r="D923" s="14"/>
      <c r="E923" s="14"/>
      <c r="F923" s="14"/>
      <c r="G923" s="14"/>
    </row>
    <row r="924">
      <c r="A924" s="74"/>
      <c r="B924" s="14"/>
      <c r="C924" s="14"/>
      <c r="D924" s="14"/>
      <c r="E924" s="14"/>
      <c r="F924" s="14"/>
      <c r="G924" s="14"/>
    </row>
    <row r="925">
      <c r="A925" s="74"/>
      <c r="B925" s="14"/>
      <c r="C925" s="14"/>
      <c r="D925" s="14"/>
      <c r="E925" s="14"/>
      <c r="F925" s="14"/>
      <c r="G925" s="14"/>
    </row>
    <row r="926">
      <c r="A926" s="74"/>
      <c r="B926" s="14"/>
      <c r="C926" s="14"/>
      <c r="D926" s="14"/>
      <c r="E926" s="14"/>
      <c r="F926" s="14"/>
      <c r="G926" s="14"/>
    </row>
    <row r="927">
      <c r="A927" s="74"/>
      <c r="B927" s="14"/>
      <c r="C927" s="14"/>
      <c r="D927" s="14"/>
      <c r="E927" s="14"/>
      <c r="F927" s="14"/>
      <c r="G927" s="14"/>
    </row>
    <row r="928">
      <c r="A928" s="74"/>
      <c r="B928" s="14"/>
      <c r="C928" s="14"/>
      <c r="D928" s="14"/>
      <c r="E928" s="14"/>
      <c r="F928" s="14"/>
      <c r="G928" s="14"/>
    </row>
    <row r="929">
      <c r="A929" s="74"/>
      <c r="B929" s="14"/>
      <c r="C929" s="14"/>
      <c r="D929" s="14"/>
      <c r="E929" s="14"/>
      <c r="F929" s="14"/>
      <c r="G929" s="14"/>
    </row>
    <row r="930">
      <c r="A930" s="74"/>
      <c r="B930" s="14"/>
      <c r="C930" s="14"/>
      <c r="D930" s="14"/>
      <c r="E930" s="14"/>
      <c r="F930" s="14"/>
      <c r="G930" s="14"/>
    </row>
    <row r="931">
      <c r="A931" s="74"/>
      <c r="B931" s="14"/>
      <c r="C931" s="14"/>
      <c r="D931" s="14"/>
      <c r="E931" s="14"/>
      <c r="F931" s="14"/>
      <c r="G931" s="14"/>
    </row>
    <row r="932">
      <c r="A932" s="74"/>
      <c r="B932" s="14"/>
      <c r="C932" s="14"/>
      <c r="D932" s="14"/>
      <c r="E932" s="14"/>
      <c r="F932" s="14"/>
      <c r="G932" s="14"/>
    </row>
    <row r="933">
      <c r="A933" s="74"/>
      <c r="B933" s="14"/>
      <c r="C933" s="14"/>
      <c r="D933" s="14"/>
      <c r="E933" s="14"/>
      <c r="F933" s="14"/>
      <c r="G933" s="14"/>
    </row>
    <row r="934">
      <c r="A934" s="74"/>
      <c r="B934" s="14"/>
      <c r="C934" s="14"/>
      <c r="D934" s="14"/>
      <c r="E934" s="14"/>
      <c r="F934" s="14"/>
      <c r="G934" s="14"/>
    </row>
    <row r="935">
      <c r="A935" s="74"/>
      <c r="B935" s="14"/>
      <c r="C935" s="14"/>
      <c r="D935" s="14"/>
      <c r="E935" s="14"/>
      <c r="F935" s="14"/>
      <c r="G935" s="14"/>
    </row>
    <row r="936">
      <c r="A936" s="74"/>
      <c r="B936" s="14"/>
      <c r="C936" s="14"/>
      <c r="D936" s="14"/>
      <c r="E936" s="14"/>
      <c r="F936" s="14"/>
      <c r="G936" s="14"/>
    </row>
    <row r="937">
      <c r="A937" s="74"/>
      <c r="B937" s="14"/>
      <c r="C937" s="14"/>
      <c r="D937" s="14"/>
      <c r="E937" s="14"/>
      <c r="F937" s="14"/>
      <c r="G937" s="14"/>
    </row>
    <row r="938">
      <c r="A938" s="74"/>
      <c r="B938" s="14"/>
      <c r="C938" s="14"/>
      <c r="D938" s="14"/>
      <c r="E938" s="14"/>
      <c r="F938" s="14"/>
      <c r="G938" s="14"/>
    </row>
    <row r="939">
      <c r="A939" s="74"/>
      <c r="B939" s="14"/>
      <c r="C939" s="14"/>
      <c r="D939" s="14"/>
      <c r="E939" s="14"/>
      <c r="F939" s="14"/>
      <c r="G939" s="14"/>
    </row>
    <row r="940">
      <c r="A940" s="74"/>
      <c r="B940" s="14"/>
      <c r="C940" s="14"/>
      <c r="D940" s="14"/>
      <c r="E940" s="14"/>
      <c r="F940" s="14"/>
      <c r="G940" s="14"/>
    </row>
    <row r="941">
      <c r="A941" s="74"/>
      <c r="B941" s="14"/>
      <c r="C941" s="14"/>
      <c r="D941" s="14"/>
      <c r="E941" s="14"/>
      <c r="F941" s="14"/>
      <c r="G941" s="14"/>
    </row>
    <row r="942">
      <c r="A942" s="74"/>
      <c r="B942" s="14"/>
      <c r="C942" s="14"/>
      <c r="D942" s="14"/>
      <c r="E942" s="14"/>
      <c r="F942" s="14"/>
      <c r="G942" s="14"/>
    </row>
    <row r="943">
      <c r="A943" s="74"/>
      <c r="B943" s="14"/>
      <c r="C943" s="14"/>
      <c r="D943" s="14"/>
      <c r="E943" s="14"/>
      <c r="F943" s="14"/>
      <c r="G943" s="14"/>
    </row>
    <row r="944">
      <c r="A944" s="74"/>
      <c r="B944" s="14"/>
      <c r="C944" s="14"/>
      <c r="D944" s="14"/>
      <c r="E944" s="14"/>
      <c r="F944" s="14"/>
      <c r="G944" s="14"/>
    </row>
    <row r="945">
      <c r="A945" s="74"/>
      <c r="B945" s="14"/>
      <c r="C945" s="14"/>
      <c r="D945" s="14"/>
      <c r="E945" s="14"/>
      <c r="F945" s="14"/>
      <c r="G945" s="14"/>
    </row>
    <row r="946">
      <c r="A946" s="74"/>
      <c r="B946" s="14"/>
      <c r="C946" s="14"/>
      <c r="D946" s="14"/>
      <c r="E946" s="14"/>
      <c r="F946" s="14"/>
      <c r="G946" s="14"/>
    </row>
    <row r="947">
      <c r="A947" s="74"/>
      <c r="B947" s="14"/>
      <c r="C947" s="14"/>
      <c r="D947" s="14"/>
      <c r="E947" s="14"/>
      <c r="F947" s="14"/>
      <c r="G947" s="14"/>
    </row>
    <row r="948">
      <c r="A948" s="74"/>
      <c r="B948" s="14"/>
      <c r="C948" s="14"/>
      <c r="D948" s="14"/>
      <c r="E948" s="14"/>
      <c r="F948" s="14"/>
      <c r="G948" s="14"/>
    </row>
    <row r="949">
      <c r="A949" s="74"/>
      <c r="B949" s="14"/>
      <c r="C949" s="14"/>
      <c r="D949" s="14"/>
      <c r="E949" s="14"/>
      <c r="F949" s="14"/>
      <c r="G949" s="14"/>
    </row>
    <row r="950">
      <c r="A950" s="74"/>
      <c r="B950" s="14"/>
      <c r="C950" s="14"/>
      <c r="D950" s="14"/>
      <c r="E950" s="14"/>
      <c r="F950" s="14"/>
      <c r="G950" s="14"/>
    </row>
    <row r="951">
      <c r="A951" s="74"/>
      <c r="B951" s="14"/>
      <c r="C951" s="14"/>
      <c r="D951" s="14"/>
      <c r="E951" s="14"/>
      <c r="F951" s="14"/>
      <c r="G951" s="14"/>
    </row>
    <row r="952">
      <c r="A952" s="74"/>
      <c r="B952" s="14"/>
      <c r="C952" s="14"/>
      <c r="D952" s="14"/>
      <c r="E952" s="14"/>
      <c r="F952" s="14"/>
      <c r="G952" s="14"/>
    </row>
    <row r="953">
      <c r="A953" s="74"/>
      <c r="B953" s="14"/>
      <c r="C953" s="14"/>
      <c r="D953" s="14"/>
      <c r="E953" s="14"/>
      <c r="F953" s="14"/>
      <c r="G953" s="14"/>
    </row>
    <row r="954">
      <c r="A954" s="74"/>
      <c r="B954" s="14"/>
      <c r="C954" s="14"/>
      <c r="D954" s="14"/>
      <c r="E954" s="14"/>
      <c r="F954" s="14"/>
      <c r="G954" s="14"/>
    </row>
    <row r="955">
      <c r="A955" s="74"/>
      <c r="B955" s="14"/>
      <c r="C955" s="14"/>
      <c r="D955" s="14"/>
      <c r="E955" s="14"/>
      <c r="F955" s="14"/>
      <c r="G955" s="14"/>
    </row>
    <row r="956">
      <c r="A956" s="74"/>
      <c r="B956" s="14"/>
      <c r="C956" s="14"/>
      <c r="D956" s="14"/>
      <c r="E956" s="14"/>
      <c r="F956" s="14"/>
      <c r="G956" s="14"/>
    </row>
    <row r="957">
      <c r="A957" s="74"/>
      <c r="B957" s="14"/>
      <c r="C957" s="14"/>
      <c r="D957" s="14"/>
      <c r="E957" s="14"/>
      <c r="F957" s="14"/>
      <c r="G957" s="14"/>
    </row>
    <row r="958">
      <c r="A958" s="74"/>
      <c r="B958" s="14"/>
      <c r="C958" s="14"/>
      <c r="D958" s="14"/>
      <c r="E958" s="14"/>
      <c r="F958" s="14"/>
      <c r="G958" s="14"/>
    </row>
    <row r="959">
      <c r="A959" s="74"/>
      <c r="B959" s="14"/>
      <c r="C959" s="14"/>
      <c r="D959" s="14"/>
      <c r="E959" s="14"/>
      <c r="F959" s="14"/>
      <c r="G959" s="14"/>
    </row>
    <row r="960">
      <c r="A960" s="74"/>
      <c r="B960" s="14"/>
      <c r="C960" s="14"/>
      <c r="D960" s="14"/>
      <c r="E960" s="14"/>
      <c r="F960" s="14"/>
      <c r="G960" s="14"/>
    </row>
    <row r="961">
      <c r="A961" s="74"/>
      <c r="B961" s="14"/>
      <c r="C961" s="14"/>
      <c r="D961" s="14"/>
      <c r="E961" s="14"/>
      <c r="F961" s="14"/>
      <c r="G961" s="14"/>
    </row>
    <row r="962">
      <c r="A962" s="74"/>
      <c r="B962" s="14"/>
      <c r="C962" s="14"/>
      <c r="D962" s="14"/>
      <c r="E962" s="14"/>
      <c r="F962" s="14"/>
      <c r="G962" s="14"/>
    </row>
    <row r="963">
      <c r="A963" s="74"/>
      <c r="B963" s="14"/>
      <c r="C963" s="14"/>
      <c r="D963" s="14"/>
      <c r="E963" s="14"/>
      <c r="F963" s="14"/>
      <c r="G963" s="14"/>
    </row>
    <row r="964">
      <c r="A964" s="74"/>
      <c r="B964" s="14"/>
      <c r="C964" s="14"/>
      <c r="D964" s="14"/>
      <c r="E964" s="14"/>
      <c r="F964" s="14"/>
      <c r="G964" s="14"/>
    </row>
    <row r="965">
      <c r="A965" s="74"/>
      <c r="B965" s="14"/>
      <c r="C965" s="14"/>
      <c r="D965" s="14"/>
      <c r="E965" s="14"/>
      <c r="F965" s="14"/>
      <c r="G965" s="14"/>
    </row>
    <row r="966">
      <c r="A966" s="74"/>
      <c r="B966" s="14"/>
      <c r="C966" s="14"/>
      <c r="D966" s="14"/>
      <c r="E966" s="14"/>
      <c r="F966" s="14"/>
      <c r="G966" s="14"/>
    </row>
    <row r="967">
      <c r="A967" s="74"/>
      <c r="B967" s="14"/>
      <c r="C967" s="14"/>
      <c r="D967" s="14"/>
      <c r="E967" s="14"/>
      <c r="F967" s="14"/>
      <c r="G967" s="14"/>
    </row>
    <row r="968">
      <c r="A968" s="74"/>
      <c r="B968" s="14"/>
      <c r="C968" s="14"/>
      <c r="D968" s="14"/>
      <c r="E968" s="14"/>
      <c r="F968" s="14"/>
      <c r="G968" s="14"/>
    </row>
    <row r="969">
      <c r="A969" s="74"/>
      <c r="B969" s="14"/>
      <c r="C969" s="14"/>
      <c r="D969" s="14"/>
      <c r="E969" s="14"/>
      <c r="F969" s="14"/>
      <c r="G969" s="14"/>
    </row>
    <row r="970">
      <c r="A970" s="74"/>
      <c r="B970" s="14"/>
      <c r="C970" s="14"/>
      <c r="D970" s="14"/>
      <c r="E970" s="14"/>
      <c r="F970" s="14"/>
      <c r="G970" s="14"/>
    </row>
    <row r="971">
      <c r="A971" s="74"/>
      <c r="B971" s="14"/>
      <c r="C971" s="14"/>
      <c r="D971" s="14"/>
      <c r="E971" s="14"/>
      <c r="F971" s="14"/>
      <c r="G971" s="14"/>
    </row>
    <row r="972">
      <c r="A972" s="74"/>
      <c r="B972" s="14"/>
      <c r="C972" s="14"/>
      <c r="D972" s="14"/>
      <c r="E972" s="14"/>
      <c r="F972" s="14"/>
      <c r="G972" s="14"/>
    </row>
    <row r="973">
      <c r="A973" s="74"/>
      <c r="B973" s="14"/>
      <c r="C973" s="14"/>
      <c r="D973" s="14"/>
      <c r="E973" s="14"/>
      <c r="F973" s="14"/>
      <c r="G973" s="14"/>
    </row>
    <row r="974">
      <c r="A974" s="74"/>
      <c r="B974" s="14"/>
      <c r="C974" s="14"/>
      <c r="D974" s="14"/>
      <c r="E974" s="14"/>
      <c r="F974" s="14"/>
      <c r="G974" s="14"/>
    </row>
    <row r="975">
      <c r="A975" s="74"/>
      <c r="B975" s="14"/>
      <c r="C975" s="14"/>
      <c r="D975" s="14"/>
      <c r="E975" s="14"/>
      <c r="F975" s="14"/>
      <c r="G975" s="14"/>
    </row>
    <row r="976">
      <c r="A976" s="74"/>
      <c r="B976" s="14"/>
      <c r="C976" s="14"/>
      <c r="D976" s="14"/>
      <c r="E976" s="14"/>
      <c r="F976" s="14"/>
      <c r="G976" s="14"/>
    </row>
    <row r="977">
      <c r="A977" s="74"/>
      <c r="B977" s="14"/>
      <c r="C977" s="14"/>
      <c r="D977" s="14"/>
      <c r="E977" s="14"/>
      <c r="F977" s="14"/>
      <c r="G977" s="14"/>
    </row>
    <row r="978">
      <c r="A978" s="74"/>
      <c r="B978" s="14"/>
      <c r="C978" s="14"/>
      <c r="D978" s="14"/>
      <c r="E978" s="14"/>
      <c r="F978" s="14"/>
      <c r="G978" s="14"/>
    </row>
    <row r="979">
      <c r="A979" s="74"/>
      <c r="B979" s="14"/>
      <c r="C979" s="14"/>
      <c r="D979" s="14"/>
      <c r="E979" s="14"/>
      <c r="F979" s="14"/>
      <c r="G979" s="14"/>
    </row>
    <row r="980">
      <c r="A980" s="74"/>
      <c r="B980" s="14"/>
      <c r="C980" s="14"/>
      <c r="D980" s="14"/>
      <c r="E980" s="14"/>
      <c r="F980" s="14"/>
      <c r="G980" s="14"/>
    </row>
    <row r="981">
      <c r="A981" s="74"/>
      <c r="B981" s="14"/>
      <c r="C981" s="14"/>
      <c r="D981" s="14"/>
      <c r="E981" s="14"/>
      <c r="F981" s="14"/>
      <c r="G981" s="14"/>
    </row>
    <row r="982">
      <c r="A982" s="74"/>
      <c r="B982" s="14"/>
      <c r="C982" s="14"/>
      <c r="D982" s="14"/>
      <c r="E982" s="14"/>
      <c r="F982" s="14"/>
      <c r="G982" s="14"/>
    </row>
    <row r="983">
      <c r="A983" s="74"/>
      <c r="B983" s="14"/>
      <c r="C983" s="14"/>
      <c r="D983" s="14"/>
      <c r="E983" s="14"/>
      <c r="F983" s="14"/>
      <c r="G983" s="14"/>
    </row>
    <row r="984">
      <c r="A984" s="74"/>
      <c r="B984" s="14"/>
      <c r="C984" s="14"/>
      <c r="D984" s="14"/>
      <c r="E984" s="14"/>
      <c r="F984" s="14"/>
      <c r="G984" s="14"/>
    </row>
    <row r="985">
      <c r="A985" s="74"/>
      <c r="B985" s="14"/>
      <c r="C985" s="14"/>
      <c r="D985" s="14"/>
      <c r="E985" s="14"/>
      <c r="F985" s="14"/>
      <c r="G985" s="14"/>
    </row>
    <row r="986">
      <c r="A986" s="74"/>
      <c r="B986" s="14"/>
      <c r="C986" s="14"/>
      <c r="D986" s="14"/>
      <c r="E986" s="14"/>
      <c r="F986" s="14"/>
      <c r="G986" s="14"/>
    </row>
    <row r="987">
      <c r="A987" s="74"/>
      <c r="B987" s="14"/>
      <c r="C987" s="14"/>
      <c r="D987" s="14"/>
      <c r="E987" s="14"/>
      <c r="F987" s="14"/>
      <c r="G987" s="14"/>
    </row>
    <row r="988">
      <c r="A988" s="74"/>
      <c r="B988" s="14"/>
      <c r="C988" s="14"/>
      <c r="D988" s="14"/>
      <c r="E988" s="14"/>
      <c r="F988" s="14"/>
      <c r="G988" s="14"/>
    </row>
    <row r="989">
      <c r="A989" s="74"/>
      <c r="B989" s="14"/>
      <c r="C989" s="14"/>
      <c r="D989" s="14"/>
      <c r="E989" s="14"/>
      <c r="F989" s="14"/>
      <c r="G989" s="14"/>
    </row>
    <row r="990">
      <c r="A990" s="74"/>
      <c r="B990" s="14"/>
      <c r="C990" s="14"/>
      <c r="D990" s="14"/>
      <c r="E990" s="14"/>
      <c r="F990" s="14"/>
      <c r="G990" s="14"/>
    </row>
    <row r="991">
      <c r="A991" s="74"/>
      <c r="B991" s="14"/>
      <c r="C991" s="14"/>
      <c r="D991" s="14"/>
      <c r="E991" s="14"/>
      <c r="F991" s="14"/>
      <c r="G991" s="14"/>
    </row>
    <row r="992">
      <c r="A992" s="74"/>
      <c r="B992" s="14"/>
      <c r="C992" s="14"/>
      <c r="D992" s="14"/>
      <c r="E992" s="14"/>
      <c r="F992" s="14"/>
      <c r="G992" s="14"/>
    </row>
    <row r="993">
      <c r="A993" s="74"/>
      <c r="B993" s="14"/>
      <c r="C993" s="14"/>
      <c r="D993" s="14"/>
      <c r="E993" s="14"/>
      <c r="F993" s="14"/>
      <c r="G993" s="14"/>
    </row>
    <row r="994">
      <c r="A994" s="74"/>
      <c r="B994" s="14"/>
      <c r="C994" s="14"/>
      <c r="D994" s="14"/>
      <c r="E994" s="14"/>
      <c r="F994" s="14"/>
      <c r="G994" s="14"/>
    </row>
    <row r="995">
      <c r="A995" s="74"/>
      <c r="B995" s="14"/>
      <c r="C995" s="14"/>
      <c r="D995" s="14"/>
      <c r="E995" s="14"/>
      <c r="F995" s="14"/>
      <c r="G995" s="14"/>
    </row>
    <row r="996">
      <c r="A996" s="74"/>
      <c r="B996" s="14"/>
      <c r="C996" s="14"/>
      <c r="D996" s="14"/>
      <c r="E996" s="14"/>
      <c r="F996" s="14"/>
      <c r="G996" s="14"/>
    </row>
    <row r="997">
      <c r="A997" s="74"/>
      <c r="B997" s="14"/>
      <c r="C997" s="14"/>
      <c r="D997" s="14"/>
      <c r="E997" s="14"/>
      <c r="F997" s="14"/>
      <c r="G997" s="14"/>
    </row>
    <row r="998">
      <c r="A998" s="74"/>
      <c r="B998" s="14"/>
      <c r="C998" s="14"/>
      <c r="D998" s="14"/>
      <c r="E998" s="14"/>
      <c r="F998" s="14"/>
      <c r="G998" s="14"/>
    </row>
    <row r="999">
      <c r="A999" s="74"/>
      <c r="B999" s="14"/>
      <c r="C999" s="14"/>
      <c r="D999" s="14"/>
      <c r="E999" s="14"/>
      <c r="F999" s="14"/>
      <c r="G999" s="14"/>
    </row>
    <row r="1000">
      <c r="A1000" s="74"/>
      <c r="B1000" s="14"/>
      <c r="C1000" s="14"/>
      <c r="D1000" s="14"/>
      <c r="E1000" s="14"/>
      <c r="F1000" s="14"/>
      <c r="G1000" s="14"/>
    </row>
    <row r="1001">
      <c r="A1001" s="74"/>
      <c r="B1001" s="14"/>
      <c r="C1001" s="14"/>
      <c r="D1001" s="14"/>
      <c r="E1001" s="14"/>
      <c r="F1001" s="14"/>
      <c r="G1001" s="14"/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>
        <f>sum(A3:A13)</f>
        <v>6</v>
      </c>
      <c r="B1" s="76" t="s">
        <v>1</v>
      </c>
      <c r="C1" s="77" t="s">
        <v>62</v>
      </c>
      <c r="D1" s="78" t="s">
        <v>61</v>
      </c>
    </row>
    <row r="2">
      <c r="A2" s="79" t="s">
        <v>63</v>
      </c>
      <c r="B2" s="11">
        <v>46056.0</v>
      </c>
      <c r="D2" s="80"/>
    </row>
    <row r="3">
      <c r="A3" s="81"/>
      <c r="B3" s="11">
        <v>46055.0</v>
      </c>
      <c r="C3" s="24">
        <v>0.0264818880351263</v>
      </c>
      <c r="D3" s="73">
        <v>6932.3</v>
      </c>
    </row>
    <row r="4">
      <c r="A4" s="82">
        <v>1.0</v>
      </c>
      <c r="B4" s="11">
        <v>46048.0</v>
      </c>
      <c r="C4" s="24">
        <v>0.03463940942646215</v>
      </c>
      <c r="D4" s="73">
        <v>6939.03</v>
      </c>
    </row>
    <row r="5">
      <c r="A5" s="82">
        <v>1.0</v>
      </c>
      <c r="B5" s="11">
        <v>46041.0</v>
      </c>
      <c r="C5" s="24">
        <v>-9.927669834066677E-4</v>
      </c>
      <c r="D5" s="73">
        <v>6915.61</v>
      </c>
    </row>
    <row r="6">
      <c r="A6" s="82">
        <v>1.0</v>
      </c>
      <c r="B6" s="11">
        <v>46034.0</v>
      </c>
      <c r="C6" s="24">
        <v>0.02010995370370372</v>
      </c>
      <c r="D6" s="73">
        <v>6940.01</v>
      </c>
    </row>
    <row r="7">
      <c r="A7" s="82">
        <v>1.0</v>
      </c>
      <c r="B7" s="11">
        <v>46027.0</v>
      </c>
      <c r="C7" s="24">
        <v>-0.010734220695577501</v>
      </c>
      <c r="D7" s="73">
        <v>6966.28</v>
      </c>
    </row>
    <row r="8">
      <c r="A8" s="82">
        <v>1.0</v>
      </c>
      <c r="B8" s="11">
        <v>46020.0</v>
      </c>
      <c r="C8" s="24">
        <v>-0.002711961176134703</v>
      </c>
      <c r="D8" s="73">
        <v>6858.47</v>
      </c>
    </row>
    <row r="9">
      <c r="A9" s="82">
        <v>1.0</v>
      </c>
      <c r="B9" s="11">
        <v>46013.0</v>
      </c>
      <c r="C9" s="24">
        <v>-0.006522972206466138</v>
      </c>
      <c r="D9" s="73">
        <v>6929.94</v>
      </c>
    </row>
    <row r="10">
      <c r="A10" s="83"/>
      <c r="B10" s="11">
        <v>46006.0</v>
      </c>
      <c r="C10" s="24">
        <v>0.014530283412458544</v>
      </c>
      <c r="D10" s="73">
        <v>6834.5</v>
      </c>
    </row>
    <row r="11">
      <c r="A11" s="83"/>
      <c r="B11" s="11">
        <v>45999.0</v>
      </c>
      <c r="C11" s="24">
        <v>-0.04269384382316477</v>
      </c>
      <c r="D11" s="73">
        <v>6827.41</v>
      </c>
    </row>
    <row r="12">
      <c r="A12" s="83"/>
      <c r="B12" s="11">
        <v>45992.0</v>
      </c>
      <c r="C12" s="24">
        <v>0.0023467697404748744</v>
      </c>
      <c r="D12" s="73">
        <v>6870.4</v>
      </c>
    </row>
    <row r="13">
      <c r="A13" s="83"/>
      <c r="B13" s="11">
        <v>45985.0</v>
      </c>
      <c r="C13" s="24">
        <v>0.025191055759977266</v>
      </c>
      <c r="D13" s="73">
        <v>6849.09</v>
      </c>
    </row>
    <row r="14">
      <c r="A14" s="83"/>
      <c r="B14" s="11">
        <v>45978.0</v>
      </c>
      <c r="C14" s="24">
        <v>0.008564087924636032</v>
      </c>
      <c r="D14" s="73">
        <v>6602.99</v>
      </c>
    </row>
    <row r="15">
      <c r="A15" s="83"/>
      <c r="B15" s="11">
        <v>45971.0</v>
      </c>
      <c r="C15" s="24">
        <v>0.0239695995323006</v>
      </c>
      <c r="D15" s="73">
        <v>6734.11</v>
      </c>
    </row>
    <row r="16">
      <c r="A16" s="83"/>
      <c r="B16" s="11">
        <v>45964.0</v>
      </c>
      <c r="C16" s="24">
        <v>-0.011557353366079104</v>
      </c>
      <c r="D16" s="73">
        <v>6728.8</v>
      </c>
    </row>
    <row r="17">
      <c r="A17" s="83"/>
      <c r="B17" s="11">
        <v>45957.0</v>
      </c>
      <c r="C17" s="24">
        <v>0.018540317834019993</v>
      </c>
      <c r="D17" s="73">
        <v>6840.2</v>
      </c>
    </row>
    <row r="18">
      <c r="A18" s="83"/>
      <c r="B18" s="11">
        <v>45950.0</v>
      </c>
      <c r="C18" s="24">
        <v>0.02088027640078116</v>
      </c>
      <c r="D18" s="73">
        <v>6791.69</v>
      </c>
    </row>
    <row r="19">
      <c r="A19" s="83"/>
      <c r="B19" s="11">
        <v>45943.0</v>
      </c>
      <c r="C19" s="24">
        <v>0.005741048496751722</v>
      </c>
      <c r="D19" s="73">
        <v>6664.01</v>
      </c>
    </row>
    <row r="20">
      <c r="A20" s="83"/>
      <c r="B20" s="11">
        <v>45936.0</v>
      </c>
      <c r="C20" s="24">
        <v>0.015028369881920023</v>
      </c>
      <c r="D20" s="73">
        <v>6552.51</v>
      </c>
    </row>
    <row r="21">
      <c r="A21" s="83"/>
      <c r="B21" s="11">
        <v>45929.0</v>
      </c>
      <c r="C21" s="24">
        <v>-0.0038191261839291</v>
      </c>
      <c r="D21" s="73">
        <v>6715.79</v>
      </c>
    </row>
    <row r="22">
      <c r="A22" s="83"/>
      <c r="B22" s="11">
        <v>45922.0</v>
      </c>
      <c r="C22" s="24">
        <v>-0.008782556026650679</v>
      </c>
      <c r="D22" s="73">
        <v>6643.7</v>
      </c>
    </row>
    <row r="23">
      <c r="A23" s="83"/>
      <c r="B23" s="11">
        <v>45915.0</v>
      </c>
      <c r="C23" s="24">
        <v>-0.013886814991787233</v>
      </c>
      <c r="D23" s="73">
        <v>6664.36</v>
      </c>
    </row>
    <row r="24">
      <c r="A24" s="83"/>
      <c r="B24" s="11">
        <v>45908.0</v>
      </c>
      <c r="C24" s="24">
        <v>-0.015002206206795043</v>
      </c>
      <c r="D24" s="73">
        <v>6584.29</v>
      </c>
    </row>
    <row r="25">
      <c r="A25" s="83"/>
      <c r="B25" s="11">
        <v>45901.0</v>
      </c>
      <c r="C25" s="24">
        <v>-0.016206048328751277</v>
      </c>
      <c r="D25" s="73">
        <v>6481.5</v>
      </c>
    </row>
    <row r="26">
      <c r="A26" s="83"/>
      <c r="B26" s="11">
        <v>45894.0</v>
      </c>
      <c r="C26" s="24">
        <v>0.003047895500725595</v>
      </c>
      <c r="D26" s="73">
        <v>6460.26</v>
      </c>
    </row>
    <row r="27">
      <c r="A27" s="83"/>
      <c r="B27" s="11">
        <v>45887.0</v>
      </c>
      <c r="C27" s="24">
        <v>-0.006058857472590717</v>
      </c>
      <c r="D27" s="73">
        <v>6466.91</v>
      </c>
    </row>
    <row r="28">
      <c r="A28" s="83"/>
      <c r="B28" s="11">
        <v>45880.0</v>
      </c>
      <c r="C28" s="24">
        <v>0.02151488358384901</v>
      </c>
      <c r="D28" s="73">
        <v>6449.8</v>
      </c>
    </row>
    <row r="29">
      <c r="A29" s="83"/>
      <c r="B29" s="11">
        <v>45873.0</v>
      </c>
      <c r="C29" s="24">
        <v>-0.004401408450704136</v>
      </c>
      <c r="D29" s="73">
        <v>6389.45</v>
      </c>
    </row>
    <row r="30">
      <c r="A30" s="83"/>
      <c r="B30" s="11">
        <v>45866.0</v>
      </c>
      <c r="C30" s="24">
        <v>-0.009734127560656725</v>
      </c>
      <c r="D30" s="73">
        <v>6238.01</v>
      </c>
    </row>
    <row r="31">
      <c r="A31" s="83"/>
      <c r="B31" s="11">
        <v>45859.0</v>
      </c>
      <c r="C31" s="24">
        <v>-2.904865649963062E-4</v>
      </c>
      <c r="D31" s="73">
        <v>6388.64</v>
      </c>
    </row>
    <row r="32">
      <c r="A32" s="83"/>
      <c r="B32" s="11">
        <v>45852.0</v>
      </c>
      <c r="C32" s="24">
        <v>-0.020765182762053858</v>
      </c>
      <c r="D32" s="73">
        <v>6296.79</v>
      </c>
    </row>
    <row r="33">
      <c r="A33" s="83"/>
      <c r="B33" s="11">
        <v>45845.0</v>
      </c>
      <c r="C33" s="24">
        <v>0.014427932477276029</v>
      </c>
      <c r="D33" s="73">
        <v>6259.75</v>
      </c>
    </row>
    <row r="34">
      <c r="A34" s="83"/>
      <c r="B34" s="11">
        <v>45838.0</v>
      </c>
      <c r="C34" s="24">
        <v>0.02166863207547176</v>
      </c>
      <c r="D34" s="73">
        <v>6279.35</v>
      </c>
    </row>
    <row r="35">
      <c r="A35" s="83"/>
      <c r="B35" s="11">
        <v>45831.0</v>
      </c>
      <c r="C35" s="24">
        <v>-0.02374442365808016</v>
      </c>
      <c r="D35" s="73">
        <v>6173.07</v>
      </c>
    </row>
    <row r="36">
      <c r="A36" s="83"/>
      <c r="B36" s="11">
        <v>45824.0</v>
      </c>
      <c r="C36" s="24">
        <v>-0.004726439415640216</v>
      </c>
      <c r="D36" s="73">
        <v>5967.84</v>
      </c>
    </row>
    <row r="37">
      <c r="A37" s="83"/>
      <c r="B37" s="11">
        <v>45817.0</v>
      </c>
      <c r="C37" s="24">
        <v>-0.01034727143869607</v>
      </c>
      <c r="D37" s="73">
        <v>5976.97</v>
      </c>
    </row>
    <row r="38">
      <c r="A38" s="83"/>
      <c r="B38" s="11">
        <v>45810.0</v>
      </c>
      <c r="C38" s="24">
        <v>0.0045564573544067954</v>
      </c>
      <c r="D38" s="73">
        <v>6000.36</v>
      </c>
    </row>
    <row r="39">
      <c r="A39" s="83"/>
      <c r="B39" s="11">
        <v>45803.0</v>
      </c>
      <c r="C39" s="24">
        <v>-0.0031227821149751867</v>
      </c>
      <c r="D39" s="73">
        <v>5911.69</v>
      </c>
    </row>
    <row r="40">
      <c r="A40" s="83"/>
      <c r="B40" s="11">
        <v>45796.0</v>
      </c>
      <c r="C40" s="24">
        <v>0.021014492753623326</v>
      </c>
      <c r="D40" s="73">
        <v>5802.82</v>
      </c>
    </row>
    <row r="41">
      <c r="A41" s="83"/>
      <c r="B41" s="11">
        <v>45789.0</v>
      </c>
      <c r="C41" s="24">
        <v>-0.015832263585793704</v>
      </c>
      <c r="D41" s="73">
        <v>5958.38</v>
      </c>
    </row>
    <row r="42">
      <c r="A42" s="83"/>
      <c r="B42" s="11">
        <v>45782.0</v>
      </c>
      <c r="C42" s="24">
        <v>-0.0035531552018192025</v>
      </c>
      <c r="D42" s="73">
        <v>5659.91</v>
      </c>
    </row>
    <row r="43">
      <c r="A43" s="83"/>
      <c r="B43" s="11">
        <v>45775.0</v>
      </c>
      <c r="C43" s="24">
        <v>-0.014979700405991947</v>
      </c>
      <c r="D43" s="73">
        <v>5686.67</v>
      </c>
    </row>
    <row r="44">
      <c r="A44" s="83"/>
      <c r="B44" s="11">
        <v>45768.0</v>
      </c>
      <c r="C44" s="24">
        <v>0.02203462584060678</v>
      </c>
      <c r="D44" s="73">
        <v>5525.21</v>
      </c>
    </row>
    <row r="45">
      <c r="A45" s="83"/>
      <c r="B45" s="11">
        <v>45761.0</v>
      </c>
      <c r="C45" s="24">
        <v>0.021335671489112862</v>
      </c>
      <c r="D45" s="73">
        <v>5282.7</v>
      </c>
    </row>
    <row r="46">
      <c r="A46" s="83"/>
      <c r="B46" s="11">
        <v>45754.0</v>
      </c>
      <c r="C46" s="24">
        <v>-0.006244554167876726</v>
      </c>
      <c r="D46" s="73">
        <v>5363.36</v>
      </c>
    </row>
    <row r="47">
      <c r="A47" s="83"/>
      <c r="B47" s="11">
        <v>45747.0</v>
      </c>
      <c r="C47" s="24">
        <v>0.02485488912040479</v>
      </c>
      <c r="D47" s="73">
        <v>5074.08</v>
      </c>
    </row>
    <row r="48">
      <c r="A48" s="83"/>
      <c r="B48" s="11">
        <v>45740.0</v>
      </c>
      <c r="C48" s="24">
        <v>1.488538255431937E-4</v>
      </c>
      <c r="D48" s="73">
        <v>5580.94</v>
      </c>
    </row>
    <row r="49">
      <c r="A49" s="83"/>
      <c r="B49" s="11">
        <v>45733.0</v>
      </c>
      <c r="C49" s="24">
        <v>-0.031709426347650504</v>
      </c>
      <c r="D49" s="73">
        <v>5667.56</v>
      </c>
    </row>
    <row r="50">
      <c r="A50" s="83"/>
      <c r="B50" s="11">
        <v>45726.0</v>
      </c>
      <c r="C50" s="24">
        <v>0.00303599826514378</v>
      </c>
      <c r="D50" s="73">
        <v>5638.94</v>
      </c>
    </row>
    <row r="51">
      <c r="A51" s="83"/>
      <c r="B51" s="11">
        <v>45719.0</v>
      </c>
      <c r="C51" s="24">
        <v>-0.002019910546818604</v>
      </c>
      <c r="D51" s="73">
        <v>5770.2</v>
      </c>
    </row>
    <row r="52">
      <c r="A52" s="83"/>
      <c r="B52" s="11">
        <v>45712.0</v>
      </c>
      <c r="C52" s="24">
        <v>0.03602391629297452</v>
      </c>
      <c r="D52" s="73">
        <v>5954.5</v>
      </c>
    </row>
    <row r="53">
      <c r="A53" s="83"/>
      <c r="B53" s="11">
        <v>45705.0</v>
      </c>
      <c r="C53" s="24">
        <v>0.07885824866956948</v>
      </c>
      <c r="D53" s="73">
        <v>6013.13</v>
      </c>
    </row>
    <row r="54">
      <c r="A54" s="83"/>
      <c r="B54" s="11">
        <v>45698.0</v>
      </c>
      <c r="D54" s="73">
        <v>6114.63</v>
      </c>
    </row>
    <row r="55">
      <c r="A55" s="83"/>
      <c r="D55" s="80"/>
    </row>
    <row r="56">
      <c r="A56" s="83"/>
      <c r="D56" s="80"/>
    </row>
    <row r="57">
      <c r="A57" s="83"/>
      <c r="D57" s="80"/>
    </row>
    <row r="58">
      <c r="A58" s="83"/>
      <c r="D58" s="80"/>
    </row>
    <row r="59">
      <c r="A59" s="83"/>
      <c r="D59" s="80"/>
    </row>
    <row r="60">
      <c r="A60" s="83"/>
      <c r="D60" s="80"/>
    </row>
    <row r="61">
      <c r="A61" s="83"/>
      <c r="D61" s="80"/>
    </row>
    <row r="62">
      <c r="A62" s="83"/>
      <c r="D62" s="80"/>
    </row>
    <row r="63">
      <c r="A63" s="83"/>
      <c r="D63" s="80"/>
    </row>
    <row r="64">
      <c r="A64" s="83"/>
      <c r="D64" s="80"/>
    </row>
    <row r="65">
      <c r="A65" s="83"/>
      <c r="D65" s="80"/>
    </row>
    <row r="66">
      <c r="A66" s="83"/>
      <c r="D66" s="80"/>
    </row>
    <row r="67">
      <c r="A67" s="83"/>
      <c r="D67" s="80"/>
    </row>
    <row r="68">
      <c r="A68" s="83"/>
      <c r="D68" s="80"/>
    </row>
    <row r="69">
      <c r="A69" s="83"/>
      <c r="D69" s="80"/>
    </row>
    <row r="70">
      <c r="A70" s="83"/>
      <c r="D70" s="80"/>
    </row>
    <row r="71">
      <c r="A71" s="83"/>
      <c r="D71" s="80"/>
    </row>
    <row r="72">
      <c r="A72" s="83"/>
      <c r="D72" s="80"/>
    </row>
    <row r="73">
      <c r="A73" s="83"/>
      <c r="D73" s="80"/>
    </row>
    <row r="74">
      <c r="A74" s="83"/>
      <c r="D74" s="80"/>
    </row>
    <row r="75">
      <c r="A75" s="83"/>
      <c r="D75" s="80"/>
    </row>
    <row r="76">
      <c r="A76" s="83"/>
      <c r="D76" s="80"/>
    </row>
    <row r="77">
      <c r="A77" s="83"/>
      <c r="D77" s="80"/>
    </row>
    <row r="78">
      <c r="A78" s="83"/>
      <c r="D78" s="80"/>
    </row>
    <row r="79">
      <c r="A79" s="83"/>
      <c r="D79" s="80"/>
    </row>
    <row r="80">
      <c r="A80" s="83"/>
      <c r="D80" s="80"/>
    </row>
    <row r="81">
      <c r="A81" s="83"/>
      <c r="D81" s="80"/>
    </row>
    <row r="82">
      <c r="A82" s="83"/>
      <c r="D82" s="80"/>
    </row>
    <row r="83">
      <c r="A83" s="83"/>
      <c r="D83" s="80"/>
    </row>
    <row r="84">
      <c r="A84" s="83"/>
      <c r="D84" s="80"/>
    </row>
    <row r="85">
      <c r="A85" s="83"/>
      <c r="D85" s="80"/>
    </row>
    <row r="86">
      <c r="A86" s="83"/>
      <c r="D86" s="80"/>
    </row>
    <row r="87">
      <c r="A87" s="83"/>
      <c r="D87" s="80"/>
    </row>
    <row r="88">
      <c r="A88" s="83"/>
      <c r="D88" s="80"/>
    </row>
    <row r="89">
      <c r="A89" s="83"/>
      <c r="D89" s="80"/>
    </row>
    <row r="90">
      <c r="A90" s="83"/>
      <c r="D90" s="80"/>
    </row>
    <row r="91">
      <c r="A91" s="83"/>
      <c r="D91" s="80"/>
    </row>
    <row r="92">
      <c r="A92" s="83"/>
      <c r="D92" s="80"/>
    </row>
    <row r="93">
      <c r="A93" s="83"/>
      <c r="D93" s="80"/>
    </row>
    <row r="94">
      <c r="A94" s="83"/>
      <c r="D94" s="80"/>
    </row>
    <row r="95">
      <c r="A95" s="83"/>
      <c r="D95" s="80"/>
    </row>
    <row r="96">
      <c r="A96" s="83"/>
      <c r="D96" s="80"/>
    </row>
    <row r="97">
      <c r="A97" s="83"/>
      <c r="D97" s="80"/>
    </row>
    <row r="98">
      <c r="A98" s="83"/>
      <c r="D98" s="80"/>
    </row>
    <row r="99">
      <c r="A99" s="83"/>
      <c r="D99" s="80"/>
    </row>
    <row r="100">
      <c r="A100" s="83"/>
      <c r="D100" s="80"/>
    </row>
    <row r="101">
      <c r="A101" s="83"/>
      <c r="D101" s="80"/>
    </row>
    <row r="102">
      <c r="A102" s="83"/>
      <c r="D102" s="80"/>
    </row>
    <row r="103">
      <c r="A103" s="83"/>
      <c r="D103" s="80"/>
    </row>
    <row r="104">
      <c r="A104" s="83"/>
      <c r="D104" s="80"/>
    </row>
    <row r="105">
      <c r="A105" s="83"/>
      <c r="D105" s="80"/>
    </row>
    <row r="106">
      <c r="A106" s="83"/>
      <c r="D106" s="80"/>
    </row>
    <row r="107">
      <c r="A107" s="83"/>
      <c r="D107" s="80"/>
    </row>
    <row r="108">
      <c r="A108" s="83"/>
      <c r="D108" s="80"/>
    </row>
    <row r="109">
      <c r="A109" s="83"/>
      <c r="D109" s="80"/>
    </row>
    <row r="110">
      <c r="A110" s="83"/>
      <c r="D110" s="80"/>
    </row>
    <row r="111">
      <c r="A111" s="83"/>
      <c r="D111" s="80"/>
    </row>
    <row r="112">
      <c r="A112" s="83"/>
      <c r="D112" s="80"/>
    </row>
    <row r="113">
      <c r="A113" s="83"/>
      <c r="D113" s="80"/>
    </row>
    <row r="114">
      <c r="A114" s="83"/>
      <c r="D114" s="80"/>
    </row>
    <row r="115">
      <c r="A115" s="83"/>
      <c r="D115" s="80"/>
    </row>
    <row r="116">
      <c r="A116" s="83"/>
      <c r="D116" s="80"/>
    </row>
    <row r="117">
      <c r="A117" s="83"/>
      <c r="D117" s="80"/>
    </row>
    <row r="118">
      <c r="A118" s="83"/>
      <c r="D118" s="80"/>
    </row>
    <row r="119">
      <c r="A119" s="83"/>
      <c r="D119" s="80"/>
    </row>
    <row r="120">
      <c r="A120" s="83"/>
      <c r="D120" s="80"/>
    </row>
    <row r="121">
      <c r="A121" s="83"/>
      <c r="D121" s="80"/>
    </row>
    <row r="122">
      <c r="A122" s="83"/>
      <c r="D122" s="80"/>
    </row>
    <row r="123">
      <c r="A123" s="83"/>
      <c r="D123" s="80"/>
    </row>
    <row r="124">
      <c r="A124" s="83"/>
      <c r="D124" s="80"/>
    </row>
    <row r="125">
      <c r="A125" s="83"/>
      <c r="D125" s="80"/>
    </row>
    <row r="126">
      <c r="A126" s="83"/>
      <c r="D126" s="80"/>
    </row>
    <row r="127">
      <c r="A127" s="83"/>
      <c r="D127" s="80"/>
    </row>
    <row r="128">
      <c r="A128" s="83"/>
      <c r="D128" s="80"/>
    </row>
    <row r="129">
      <c r="A129" s="83"/>
      <c r="D129" s="80"/>
    </row>
    <row r="130">
      <c r="A130" s="83"/>
      <c r="D130" s="80"/>
    </row>
    <row r="131">
      <c r="A131" s="83"/>
      <c r="D131" s="80"/>
    </row>
    <row r="132">
      <c r="A132" s="83"/>
      <c r="D132" s="80"/>
    </row>
    <row r="133">
      <c r="A133" s="83"/>
      <c r="D133" s="80"/>
    </row>
    <row r="134">
      <c r="A134" s="83"/>
      <c r="D134" s="80"/>
    </row>
    <row r="135">
      <c r="A135" s="83"/>
      <c r="D135" s="80"/>
    </row>
    <row r="136">
      <c r="A136" s="83"/>
      <c r="D136" s="80"/>
    </row>
    <row r="137">
      <c r="A137" s="83"/>
      <c r="D137" s="80"/>
    </row>
    <row r="138">
      <c r="A138" s="83"/>
      <c r="D138" s="80"/>
    </row>
    <row r="139">
      <c r="A139" s="83"/>
      <c r="D139" s="80"/>
    </row>
    <row r="140">
      <c r="A140" s="83"/>
      <c r="D140" s="80"/>
    </row>
    <row r="141">
      <c r="A141" s="83"/>
      <c r="D141" s="80"/>
    </row>
    <row r="142">
      <c r="A142" s="83"/>
      <c r="D142" s="80"/>
    </row>
    <row r="143">
      <c r="A143" s="83"/>
      <c r="D143" s="80"/>
    </row>
    <row r="144">
      <c r="A144" s="83"/>
      <c r="D144" s="80"/>
    </row>
    <row r="145">
      <c r="A145" s="83"/>
      <c r="D145" s="80"/>
    </row>
    <row r="146">
      <c r="A146" s="83"/>
      <c r="D146" s="80"/>
    </row>
    <row r="147">
      <c r="A147" s="83"/>
      <c r="D147" s="80"/>
    </row>
    <row r="148">
      <c r="A148" s="83"/>
      <c r="D148" s="80"/>
    </row>
    <row r="149">
      <c r="A149" s="83"/>
      <c r="D149" s="80"/>
    </row>
    <row r="150">
      <c r="A150" s="83"/>
      <c r="D150" s="80"/>
    </row>
    <row r="151">
      <c r="A151" s="83"/>
      <c r="D151" s="80"/>
    </row>
    <row r="152">
      <c r="A152" s="83"/>
      <c r="D152" s="80"/>
    </row>
    <row r="153">
      <c r="A153" s="83"/>
      <c r="D153" s="80"/>
    </row>
    <row r="154">
      <c r="A154" s="83"/>
      <c r="D154" s="80"/>
    </row>
    <row r="155">
      <c r="A155" s="83"/>
      <c r="D155" s="80"/>
    </row>
    <row r="156">
      <c r="A156" s="83"/>
      <c r="D156" s="80"/>
    </row>
    <row r="157">
      <c r="A157" s="83"/>
      <c r="D157" s="80"/>
    </row>
    <row r="158">
      <c r="A158" s="83"/>
      <c r="D158" s="80"/>
    </row>
    <row r="159">
      <c r="A159" s="83"/>
      <c r="D159" s="80"/>
    </row>
    <row r="160">
      <c r="A160" s="83"/>
      <c r="D160" s="80"/>
    </row>
    <row r="161">
      <c r="A161" s="83"/>
      <c r="D161" s="80"/>
    </row>
    <row r="162">
      <c r="A162" s="83"/>
      <c r="D162" s="80"/>
    </row>
    <row r="163">
      <c r="A163" s="83"/>
      <c r="D163" s="80"/>
    </row>
    <row r="164">
      <c r="A164" s="83"/>
      <c r="D164" s="80"/>
    </row>
    <row r="165">
      <c r="A165" s="83"/>
      <c r="D165" s="80"/>
    </row>
    <row r="166">
      <c r="A166" s="83"/>
      <c r="D166" s="80"/>
    </row>
    <row r="167">
      <c r="A167" s="83"/>
      <c r="D167" s="80"/>
    </row>
    <row r="168">
      <c r="A168" s="83"/>
      <c r="D168" s="80"/>
    </row>
    <row r="169">
      <c r="A169" s="83"/>
      <c r="D169" s="80"/>
    </row>
    <row r="170">
      <c r="A170" s="83"/>
      <c r="D170" s="80"/>
    </row>
    <row r="171">
      <c r="A171" s="83"/>
      <c r="D171" s="80"/>
    </row>
    <row r="172">
      <c r="A172" s="83"/>
      <c r="D172" s="80"/>
    </row>
    <row r="173">
      <c r="A173" s="83"/>
      <c r="D173" s="80"/>
    </row>
    <row r="174">
      <c r="A174" s="83"/>
      <c r="D174" s="80"/>
    </row>
    <row r="175">
      <c r="A175" s="83"/>
      <c r="D175" s="80"/>
    </row>
    <row r="176">
      <c r="A176" s="83"/>
      <c r="D176" s="80"/>
    </row>
    <row r="177">
      <c r="A177" s="83"/>
      <c r="D177" s="80"/>
    </row>
    <row r="178">
      <c r="A178" s="83"/>
      <c r="D178" s="80"/>
    </row>
    <row r="179">
      <c r="A179" s="83"/>
      <c r="D179" s="80"/>
    </row>
    <row r="180">
      <c r="A180" s="83"/>
      <c r="D180" s="80"/>
    </row>
    <row r="181">
      <c r="A181" s="83"/>
      <c r="D181" s="80"/>
    </row>
    <row r="182">
      <c r="A182" s="83"/>
      <c r="D182" s="80"/>
    </row>
    <row r="183">
      <c r="A183" s="83"/>
      <c r="D183" s="80"/>
    </row>
    <row r="184">
      <c r="A184" s="83"/>
      <c r="D184" s="80"/>
    </row>
    <row r="185">
      <c r="A185" s="83"/>
      <c r="D185" s="80"/>
    </row>
    <row r="186">
      <c r="A186" s="83"/>
      <c r="D186" s="80"/>
    </row>
    <row r="187">
      <c r="A187" s="83"/>
      <c r="D187" s="80"/>
    </row>
    <row r="188">
      <c r="A188" s="83"/>
      <c r="D188" s="80"/>
    </row>
    <row r="189">
      <c r="A189" s="83"/>
      <c r="D189" s="80"/>
    </row>
    <row r="190">
      <c r="A190" s="83"/>
      <c r="D190" s="80"/>
    </row>
    <row r="191">
      <c r="A191" s="83"/>
      <c r="D191" s="80"/>
    </row>
    <row r="192">
      <c r="A192" s="83"/>
      <c r="D192" s="80"/>
    </row>
    <row r="193">
      <c r="A193" s="83"/>
      <c r="D193" s="80"/>
    </row>
    <row r="194">
      <c r="A194" s="83"/>
      <c r="D194" s="80"/>
    </row>
    <row r="195">
      <c r="A195" s="83"/>
      <c r="D195" s="80"/>
    </row>
    <row r="196">
      <c r="A196" s="83"/>
      <c r="D196" s="80"/>
    </row>
    <row r="197">
      <c r="A197" s="83"/>
      <c r="D197" s="80"/>
    </row>
    <row r="198">
      <c r="A198" s="83"/>
      <c r="D198" s="80"/>
    </row>
    <row r="199">
      <c r="A199" s="83"/>
      <c r="D199" s="80"/>
    </row>
    <row r="200">
      <c r="A200" s="83"/>
      <c r="D200" s="80"/>
    </row>
    <row r="201">
      <c r="A201" s="84"/>
      <c r="D201" s="80"/>
    </row>
    <row r="202">
      <c r="A202" s="84"/>
      <c r="D202" s="80"/>
    </row>
    <row r="203">
      <c r="A203" s="84"/>
      <c r="D203" s="80"/>
    </row>
    <row r="204">
      <c r="A204" s="84"/>
      <c r="D204" s="80"/>
    </row>
    <row r="205">
      <c r="A205" s="84"/>
      <c r="D205" s="80"/>
    </row>
    <row r="206">
      <c r="A206" s="84"/>
      <c r="D206" s="80"/>
    </row>
    <row r="207">
      <c r="A207" s="84"/>
      <c r="D207" s="80"/>
    </row>
    <row r="208">
      <c r="A208" s="84"/>
      <c r="D208" s="80"/>
    </row>
    <row r="209">
      <c r="A209" s="84"/>
      <c r="D209" s="80"/>
    </row>
    <row r="210">
      <c r="A210" s="84"/>
      <c r="D210" s="80"/>
    </row>
    <row r="211">
      <c r="A211" s="84"/>
      <c r="D211" s="80"/>
    </row>
    <row r="212">
      <c r="A212" s="84"/>
      <c r="D212" s="80"/>
    </row>
    <row r="213">
      <c r="A213" s="84"/>
      <c r="D213" s="80"/>
    </row>
    <row r="214">
      <c r="A214" s="84"/>
      <c r="D214" s="80"/>
    </row>
    <row r="215">
      <c r="A215" s="84"/>
      <c r="D215" s="80"/>
    </row>
    <row r="216">
      <c r="A216" s="84"/>
      <c r="D216" s="80"/>
    </row>
    <row r="217">
      <c r="A217" s="84"/>
      <c r="D217" s="80"/>
    </row>
    <row r="218">
      <c r="A218" s="84"/>
      <c r="D218" s="80"/>
    </row>
    <row r="219">
      <c r="A219" s="84"/>
      <c r="D219" s="80"/>
    </row>
    <row r="220">
      <c r="A220" s="84"/>
      <c r="D220" s="80"/>
    </row>
    <row r="221">
      <c r="A221" s="84"/>
      <c r="D221" s="80"/>
    </row>
    <row r="222">
      <c r="A222" s="84"/>
      <c r="D222" s="80"/>
    </row>
    <row r="223">
      <c r="A223" s="84"/>
      <c r="D223" s="80"/>
    </row>
    <row r="224">
      <c r="A224" s="84"/>
      <c r="D224" s="80"/>
    </row>
    <row r="225">
      <c r="A225" s="84"/>
      <c r="D225" s="80"/>
    </row>
    <row r="226">
      <c r="A226" s="84"/>
      <c r="D226" s="80"/>
    </row>
    <row r="227">
      <c r="A227" s="84"/>
      <c r="D227" s="80"/>
    </row>
    <row r="228">
      <c r="A228" s="84"/>
      <c r="D228" s="80"/>
    </row>
    <row r="229">
      <c r="A229" s="84"/>
      <c r="D229" s="80"/>
    </row>
    <row r="230">
      <c r="A230" s="84"/>
      <c r="D230" s="80"/>
    </row>
    <row r="231">
      <c r="A231" s="84"/>
      <c r="D231" s="80"/>
    </row>
    <row r="232">
      <c r="A232" s="84"/>
      <c r="D232" s="80"/>
    </row>
    <row r="233">
      <c r="A233" s="84"/>
      <c r="D233" s="80"/>
    </row>
    <row r="234">
      <c r="A234" s="84"/>
      <c r="D234" s="80"/>
    </row>
    <row r="235">
      <c r="A235" s="84"/>
      <c r="D235" s="80"/>
    </row>
    <row r="236">
      <c r="A236" s="84"/>
      <c r="D236" s="80"/>
    </row>
    <row r="237">
      <c r="A237" s="84"/>
      <c r="D237" s="80"/>
    </row>
    <row r="238">
      <c r="A238" s="84"/>
      <c r="D238" s="80"/>
    </row>
    <row r="239">
      <c r="A239" s="84"/>
      <c r="D239" s="80"/>
    </row>
    <row r="240">
      <c r="A240" s="84"/>
      <c r="D240" s="80"/>
    </row>
    <row r="241">
      <c r="A241" s="84"/>
      <c r="D241" s="80"/>
    </row>
    <row r="242">
      <c r="A242" s="84"/>
      <c r="D242" s="80"/>
    </row>
    <row r="243">
      <c r="A243" s="84"/>
      <c r="D243" s="80"/>
    </row>
    <row r="244">
      <c r="A244" s="84"/>
      <c r="D244" s="80"/>
    </row>
    <row r="245">
      <c r="A245" s="84"/>
      <c r="D245" s="80"/>
    </row>
    <row r="246">
      <c r="A246" s="84"/>
      <c r="D246" s="80"/>
    </row>
    <row r="247">
      <c r="A247" s="84"/>
      <c r="D247" s="80"/>
    </row>
    <row r="248">
      <c r="A248" s="84"/>
      <c r="D248" s="80"/>
    </row>
    <row r="249">
      <c r="A249" s="84"/>
      <c r="D249" s="80"/>
    </row>
    <row r="250">
      <c r="A250" s="84"/>
      <c r="D250" s="80"/>
    </row>
    <row r="251">
      <c r="A251" s="84"/>
      <c r="D251" s="80"/>
    </row>
    <row r="252">
      <c r="A252" s="84"/>
      <c r="D252" s="80"/>
    </row>
    <row r="253">
      <c r="A253" s="84"/>
      <c r="D253" s="80"/>
    </row>
    <row r="254">
      <c r="A254" s="84"/>
      <c r="D254" s="80"/>
    </row>
    <row r="255">
      <c r="A255" s="84"/>
      <c r="D255" s="80"/>
    </row>
    <row r="256">
      <c r="A256" s="84"/>
      <c r="D256" s="80"/>
    </row>
    <row r="257">
      <c r="A257" s="84"/>
      <c r="D257" s="80"/>
    </row>
    <row r="258">
      <c r="A258" s="84"/>
      <c r="D258" s="80"/>
    </row>
    <row r="259">
      <c r="A259" s="84"/>
      <c r="D259" s="80"/>
    </row>
    <row r="260">
      <c r="A260" s="84"/>
      <c r="D260" s="80"/>
    </row>
    <row r="261">
      <c r="A261" s="84"/>
      <c r="D261" s="80"/>
    </row>
    <row r="262">
      <c r="A262" s="84"/>
      <c r="D262" s="80"/>
    </row>
    <row r="263">
      <c r="A263" s="84"/>
      <c r="D263" s="80"/>
    </row>
    <row r="264">
      <c r="A264" s="84"/>
      <c r="D264" s="80"/>
    </row>
    <row r="265">
      <c r="A265" s="84"/>
      <c r="D265" s="80"/>
    </row>
    <row r="266">
      <c r="A266" s="84"/>
      <c r="D266" s="80"/>
    </row>
    <row r="267">
      <c r="A267" s="84"/>
      <c r="D267" s="80"/>
    </row>
    <row r="268">
      <c r="A268" s="84"/>
      <c r="D268" s="80"/>
    </row>
    <row r="269">
      <c r="A269" s="84"/>
      <c r="D269" s="80"/>
    </row>
    <row r="270">
      <c r="A270" s="84"/>
      <c r="D270" s="80"/>
    </row>
    <row r="271">
      <c r="A271" s="84"/>
      <c r="D271" s="80"/>
    </row>
    <row r="272">
      <c r="A272" s="84"/>
      <c r="D272" s="80"/>
    </row>
    <row r="273">
      <c r="A273" s="84"/>
      <c r="D273" s="80"/>
    </row>
    <row r="274">
      <c r="A274" s="84"/>
      <c r="D274" s="80"/>
    </row>
    <row r="275">
      <c r="A275" s="84"/>
      <c r="D275" s="80"/>
    </row>
    <row r="276">
      <c r="A276" s="84"/>
      <c r="D276" s="80"/>
    </row>
    <row r="277">
      <c r="A277" s="84"/>
      <c r="D277" s="80"/>
    </row>
    <row r="278">
      <c r="A278" s="84"/>
      <c r="D278" s="80"/>
    </row>
    <row r="279">
      <c r="A279" s="84"/>
      <c r="D279" s="80"/>
    </row>
    <row r="280">
      <c r="A280" s="84"/>
      <c r="D280" s="80"/>
    </row>
    <row r="281">
      <c r="A281" s="84"/>
      <c r="D281" s="80"/>
    </row>
    <row r="282">
      <c r="A282" s="84"/>
      <c r="D282" s="80"/>
    </row>
    <row r="283">
      <c r="A283" s="84"/>
      <c r="D283" s="80"/>
    </row>
    <row r="284">
      <c r="A284" s="84"/>
      <c r="D284" s="80"/>
    </row>
    <row r="285">
      <c r="A285" s="84"/>
      <c r="D285" s="80"/>
    </row>
    <row r="286">
      <c r="A286" s="84"/>
      <c r="D286" s="80"/>
    </row>
    <row r="287">
      <c r="A287" s="84"/>
      <c r="D287" s="80"/>
    </row>
    <row r="288">
      <c r="A288" s="84"/>
      <c r="D288" s="80"/>
    </row>
    <row r="289">
      <c r="A289" s="84"/>
      <c r="D289" s="80"/>
    </row>
    <row r="290">
      <c r="A290" s="84"/>
      <c r="D290" s="80"/>
    </row>
    <row r="291">
      <c r="A291" s="84"/>
      <c r="D291" s="80"/>
    </row>
    <row r="292">
      <c r="A292" s="84"/>
      <c r="D292" s="80"/>
    </row>
    <row r="293">
      <c r="A293" s="84"/>
      <c r="D293" s="80"/>
    </row>
    <row r="294">
      <c r="A294" s="84"/>
      <c r="D294" s="80"/>
    </row>
    <row r="295">
      <c r="A295" s="84"/>
      <c r="D295" s="80"/>
    </row>
    <row r="296">
      <c r="A296" s="84"/>
      <c r="D296" s="80"/>
    </row>
    <row r="297">
      <c r="A297" s="84"/>
      <c r="D297" s="80"/>
    </row>
    <row r="298">
      <c r="A298" s="84"/>
      <c r="D298" s="80"/>
    </row>
    <row r="299">
      <c r="A299" s="84"/>
      <c r="D299" s="80"/>
    </row>
    <row r="300">
      <c r="A300" s="84"/>
      <c r="D300" s="80"/>
    </row>
    <row r="301">
      <c r="A301" s="84"/>
      <c r="D301" s="80"/>
    </row>
    <row r="302">
      <c r="A302" s="84"/>
      <c r="D302" s="80"/>
    </row>
    <row r="303">
      <c r="A303" s="84"/>
      <c r="D303" s="80"/>
    </row>
    <row r="304">
      <c r="A304" s="84"/>
      <c r="D304" s="80"/>
    </row>
    <row r="305">
      <c r="A305" s="84"/>
      <c r="D305" s="80"/>
    </row>
    <row r="306">
      <c r="A306" s="84"/>
      <c r="D306" s="80"/>
    </row>
    <row r="307">
      <c r="A307" s="84"/>
      <c r="D307" s="80"/>
    </row>
    <row r="308">
      <c r="A308" s="84"/>
      <c r="D308" s="80"/>
    </row>
    <row r="309">
      <c r="A309" s="84"/>
      <c r="D309" s="80"/>
    </row>
    <row r="310">
      <c r="A310" s="84"/>
      <c r="D310" s="80"/>
    </row>
    <row r="311">
      <c r="A311" s="84"/>
      <c r="D311" s="80"/>
    </row>
    <row r="312">
      <c r="A312" s="84"/>
      <c r="D312" s="80"/>
    </row>
    <row r="313">
      <c r="A313" s="84"/>
      <c r="D313" s="80"/>
    </row>
    <row r="314">
      <c r="A314" s="84"/>
      <c r="D314" s="80"/>
    </row>
    <row r="315">
      <c r="A315" s="84"/>
      <c r="D315" s="80"/>
    </row>
    <row r="316">
      <c r="A316" s="84"/>
      <c r="D316" s="80"/>
    </row>
    <row r="317">
      <c r="A317" s="84"/>
      <c r="D317" s="80"/>
    </row>
    <row r="318">
      <c r="A318" s="84"/>
      <c r="D318" s="80"/>
    </row>
    <row r="319">
      <c r="A319" s="84"/>
      <c r="D319" s="80"/>
    </row>
    <row r="320">
      <c r="A320" s="84"/>
      <c r="D320" s="80"/>
    </row>
    <row r="321">
      <c r="A321" s="84"/>
      <c r="D321" s="80"/>
    </row>
    <row r="322">
      <c r="A322" s="84"/>
      <c r="D322" s="80"/>
    </row>
    <row r="323">
      <c r="A323" s="84"/>
      <c r="D323" s="80"/>
    </row>
    <row r="324">
      <c r="A324" s="84"/>
      <c r="D324" s="80"/>
    </row>
    <row r="325">
      <c r="A325" s="84"/>
      <c r="D325" s="80"/>
    </row>
    <row r="326">
      <c r="A326" s="84"/>
      <c r="D326" s="80"/>
    </row>
    <row r="327">
      <c r="A327" s="84"/>
      <c r="D327" s="80"/>
    </row>
    <row r="328">
      <c r="A328" s="84"/>
      <c r="D328" s="80"/>
    </row>
    <row r="329">
      <c r="A329" s="84"/>
      <c r="D329" s="80"/>
    </row>
    <row r="330">
      <c r="A330" s="84"/>
      <c r="D330" s="80"/>
    </row>
    <row r="331">
      <c r="A331" s="84"/>
      <c r="D331" s="80"/>
    </row>
    <row r="332">
      <c r="A332" s="84"/>
      <c r="D332" s="80"/>
    </row>
    <row r="333">
      <c r="A333" s="84"/>
      <c r="D333" s="80"/>
    </row>
    <row r="334">
      <c r="A334" s="84"/>
      <c r="D334" s="80"/>
    </row>
    <row r="335">
      <c r="A335" s="84"/>
      <c r="D335" s="80"/>
    </row>
    <row r="336">
      <c r="A336" s="84"/>
      <c r="D336" s="80"/>
    </row>
    <row r="337">
      <c r="A337" s="84"/>
      <c r="D337" s="80"/>
    </row>
    <row r="338">
      <c r="A338" s="84"/>
      <c r="D338" s="80"/>
    </row>
    <row r="339">
      <c r="A339" s="84"/>
      <c r="D339" s="80"/>
    </row>
    <row r="340">
      <c r="A340" s="84"/>
      <c r="D340" s="80"/>
    </row>
    <row r="341">
      <c r="A341" s="84"/>
      <c r="D341" s="80"/>
    </row>
    <row r="342">
      <c r="A342" s="84"/>
      <c r="D342" s="80"/>
    </row>
    <row r="343">
      <c r="A343" s="84"/>
      <c r="D343" s="80"/>
    </row>
    <row r="344">
      <c r="A344" s="84"/>
      <c r="D344" s="80"/>
    </row>
    <row r="345">
      <c r="A345" s="84"/>
      <c r="D345" s="80"/>
    </row>
    <row r="346">
      <c r="A346" s="84"/>
      <c r="D346" s="80"/>
    </row>
    <row r="347">
      <c r="A347" s="84"/>
      <c r="D347" s="80"/>
    </row>
    <row r="348">
      <c r="A348" s="84"/>
      <c r="D348" s="80"/>
    </row>
    <row r="349">
      <c r="A349" s="84"/>
      <c r="D349" s="80"/>
    </row>
    <row r="350">
      <c r="A350" s="84"/>
      <c r="D350" s="80"/>
    </row>
    <row r="351">
      <c r="A351" s="84"/>
      <c r="D351" s="80"/>
    </row>
    <row r="352">
      <c r="A352" s="84"/>
      <c r="D352" s="80"/>
    </row>
    <row r="353">
      <c r="A353" s="84"/>
      <c r="D353" s="80"/>
    </row>
    <row r="354">
      <c r="A354" s="84"/>
      <c r="D354" s="80"/>
    </row>
    <row r="355">
      <c r="A355" s="84"/>
      <c r="D355" s="80"/>
    </row>
    <row r="356">
      <c r="A356" s="84"/>
      <c r="D356" s="80"/>
    </row>
    <row r="357">
      <c r="A357" s="84"/>
      <c r="D357" s="80"/>
    </row>
    <row r="358">
      <c r="A358" s="84"/>
      <c r="D358" s="80"/>
    </row>
    <row r="359">
      <c r="A359" s="84"/>
      <c r="D359" s="80"/>
    </row>
    <row r="360">
      <c r="A360" s="84"/>
      <c r="D360" s="80"/>
    </row>
    <row r="361">
      <c r="A361" s="84"/>
      <c r="D361" s="80"/>
    </row>
    <row r="362">
      <c r="A362" s="84"/>
      <c r="D362" s="80"/>
    </row>
    <row r="363">
      <c r="A363" s="84"/>
      <c r="D363" s="80"/>
    </row>
    <row r="364">
      <c r="A364" s="84"/>
      <c r="D364" s="80"/>
    </row>
    <row r="365">
      <c r="A365" s="84"/>
      <c r="D365" s="80"/>
    </row>
    <row r="366">
      <c r="A366" s="84"/>
      <c r="D366" s="80"/>
    </row>
    <row r="367">
      <c r="A367" s="84"/>
      <c r="D367" s="80"/>
    </row>
    <row r="368">
      <c r="A368" s="84"/>
      <c r="D368" s="80"/>
    </row>
    <row r="369">
      <c r="A369" s="84"/>
      <c r="D369" s="80"/>
    </row>
    <row r="370">
      <c r="A370" s="84"/>
      <c r="D370" s="80"/>
    </row>
    <row r="371">
      <c r="A371" s="84"/>
      <c r="D371" s="80"/>
    </row>
    <row r="372">
      <c r="A372" s="84"/>
      <c r="D372" s="80"/>
    </row>
    <row r="373">
      <c r="A373" s="84"/>
      <c r="D373" s="80"/>
    </row>
    <row r="374">
      <c r="A374" s="84"/>
      <c r="D374" s="80"/>
    </row>
    <row r="375">
      <c r="A375" s="84"/>
      <c r="D375" s="80"/>
    </row>
    <row r="376">
      <c r="A376" s="84"/>
      <c r="D376" s="80"/>
    </row>
    <row r="377">
      <c r="A377" s="84"/>
      <c r="D377" s="80"/>
    </row>
    <row r="378">
      <c r="A378" s="84"/>
      <c r="D378" s="80"/>
    </row>
    <row r="379">
      <c r="A379" s="84"/>
      <c r="D379" s="80"/>
    </row>
    <row r="380">
      <c r="A380" s="84"/>
      <c r="D380" s="80"/>
    </row>
    <row r="381">
      <c r="A381" s="84"/>
      <c r="D381" s="80"/>
    </row>
    <row r="382">
      <c r="A382" s="84"/>
      <c r="D382" s="80"/>
    </row>
    <row r="383">
      <c r="A383" s="84"/>
      <c r="D383" s="80"/>
    </row>
    <row r="384">
      <c r="A384" s="84"/>
      <c r="D384" s="80"/>
    </row>
    <row r="385">
      <c r="A385" s="84"/>
      <c r="D385" s="80"/>
    </row>
    <row r="386">
      <c r="A386" s="84"/>
      <c r="D386" s="80"/>
    </row>
    <row r="387">
      <c r="A387" s="84"/>
      <c r="D387" s="80"/>
    </row>
    <row r="388">
      <c r="A388" s="84"/>
      <c r="D388" s="80"/>
    </row>
    <row r="389">
      <c r="A389" s="84"/>
      <c r="D389" s="80"/>
    </row>
    <row r="390">
      <c r="A390" s="84"/>
      <c r="D390" s="80"/>
    </row>
    <row r="391">
      <c r="A391" s="84"/>
      <c r="D391" s="80"/>
    </row>
    <row r="392">
      <c r="A392" s="84"/>
      <c r="D392" s="80"/>
    </row>
    <row r="393">
      <c r="A393" s="84"/>
      <c r="D393" s="80"/>
    </row>
    <row r="394">
      <c r="A394" s="84"/>
      <c r="D394" s="80"/>
    </row>
    <row r="395">
      <c r="A395" s="84"/>
      <c r="D395" s="80"/>
    </row>
    <row r="396">
      <c r="A396" s="84"/>
      <c r="D396" s="80"/>
    </row>
    <row r="397">
      <c r="A397" s="84"/>
      <c r="D397" s="80"/>
    </row>
    <row r="398">
      <c r="A398" s="84"/>
      <c r="D398" s="80"/>
    </row>
    <row r="399">
      <c r="A399" s="84"/>
      <c r="D399" s="80"/>
    </row>
    <row r="400">
      <c r="A400" s="84"/>
      <c r="D400" s="80"/>
    </row>
    <row r="401">
      <c r="A401" s="84"/>
      <c r="D401" s="80"/>
    </row>
    <row r="402">
      <c r="A402" s="84"/>
      <c r="D402" s="80"/>
    </row>
    <row r="403">
      <c r="A403" s="84"/>
      <c r="D403" s="80"/>
    </row>
    <row r="404">
      <c r="A404" s="84"/>
      <c r="D404" s="80"/>
    </row>
    <row r="405">
      <c r="A405" s="84"/>
      <c r="D405" s="80"/>
    </row>
    <row r="406">
      <c r="A406" s="84"/>
      <c r="D406" s="80"/>
    </row>
    <row r="407">
      <c r="A407" s="84"/>
      <c r="D407" s="80"/>
    </row>
    <row r="408">
      <c r="A408" s="84"/>
      <c r="D408" s="80"/>
    </row>
    <row r="409">
      <c r="A409" s="84"/>
      <c r="D409" s="80"/>
    </row>
    <row r="410">
      <c r="A410" s="84"/>
      <c r="D410" s="80"/>
    </row>
    <row r="411">
      <c r="A411" s="84"/>
      <c r="D411" s="80"/>
    </row>
    <row r="412">
      <c r="A412" s="84"/>
      <c r="D412" s="80"/>
    </row>
    <row r="413">
      <c r="A413" s="84"/>
      <c r="D413" s="80"/>
    </row>
    <row r="414">
      <c r="A414" s="84"/>
      <c r="D414" s="80"/>
    </row>
    <row r="415">
      <c r="A415" s="84"/>
      <c r="D415" s="80"/>
    </row>
    <row r="416">
      <c r="A416" s="84"/>
      <c r="D416" s="80"/>
    </row>
    <row r="417">
      <c r="A417" s="84"/>
      <c r="D417" s="80"/>
    </row>
    <row r="418">
      <c r="A418" s="84"/>
      <c r="D418" s="80"/>
    </row>
    <row r="419">
      <c r="A419" s="84"/>
      <c r="D419" s="80"/>
    </row>
    <row r="420">
      <c r="A420" s="84"/>
      <c r="D420" s="80"/>
    </row>
    <row r="421">
      <c r="A421" s="84"/>
      <c r="D421" s="80"/>
    </row>
    <row r="422">
      <c r="A422" s="84"/>
      <c r="D422" s="80"/>
    </row>
    <row r="423">
      <c r="A423" s="84"/>
      <c r="D423" s="80"/>
    </row>
    <row r="424">
      <c r="A424" s="84"/>
      <c r="D424" s="80"/>
    </row>
    <row r="425">
      <c r="A425" s="84"/>
      <c r="D425" s="80"/>
    </row>
    <row r="426">
      <c r="A426" s="84"/>
      <c r="D426" s="80"/>
    </row>
    <row r="427">
      <c r="A427" s="84"/>
      <c r="D427" s="80"/>
    </row>
    <row r="428">
      <c r="A428" s="84"/>
      <c r="D428" s="80"/>
    </row>
    <row r="429">
      <c r="A429" s="84"/>
      <c r="D429" s="80"/>
    </row>
    <row r="430">
      <c r="A430" s="84"/>
      <c r="D430" s="80"/>
    </row>
    <row r="431">
      <c r="A431" s="84"/>
      <c r="D431" s="80"/>
    </row>
    <row r="432">
      <c r="A432" s="84"/>
      <c r="D432" s="80"/>
    </row>
    <row r="433">
      <c r="A433" s="84"/>
      <c r="D433" s="80"/>
    </row>
    <row r="434">
      <c r="A434" s="84"/>
      <c r="D434" s="80"/>
    </row>
    <row r="435">
      <c r="A435" s="84"/>
      <c r="D435" s="80"/>
    </row>
    <row r="436">
      <c r="A436" s="84"/>
      <c r="D436" s="80"/>
    </row>
    <row r="437">
      <c r="A437" s="84"/>
      <c r="D437" s="80"/>
    </row>
    <row r="438">
      <c r="A438" s="84"/>
      <c r="D438" s="80"/>
    </row>
    <row r="439">
      <c r="A439" s="84"/>
      <c r="D439" s="80"/>
    </row>
    <row r="440">
      <c r="A440" s="84"/>
      <c r="D440" s="80"/>
    </row>
    <row r="441">
      <c r="A441" s="84"/>
      <c r="D441" s="80"/>
    </row>
    <row r="442">
      <c r="A442" s="84"/>
      <c r="D442" s="80"/>
    </row>
    <row r="443">
      <c r="A443" s="84"/>
      <c r="D443" s="80"/>
    </row>
    <row r="444">
      <c r="A444" s="84"/>
      <c r="D444" s="80"/>
    </row>
    <row r="445">
      <c r="A445" s="84"/>
      <c r="D445" s="80"/>
    </row>
    <row r="446">
      <c r="A446" s="84"/>
      <c r="D446" s="80"/>
    </row>
    <row r="447">
      <c r="A447" s="84"/>
      <c r="D447" s="80"/>
    </row>
    <row r="448">
      <c r="A448" s="84"/>
      <c r="D448" s="80"/>
    </row>
    <row r="449">
      <c r="A449" s="84"/>
      <c r="D449" s="80"/>
    </row>
    <row r="450">
      <c r="A450" s="84"/>
      <c r="D450" s="80"/>
    </row>
    <row r="451">
      <c r="A451" s="84"/>
      <c r="D451" s="80"/>
    </row>
    <row r="452">
      <c r="A452" s="84"/>
      <c r="D452" s="80"/>
    </row>
    <row r="453">
      <c r="A453" s="84"/>
      <c r="D453" s="80"/>
    </row>
    <row r="454">
      <c r="A454" s="84"/>
      <c r="D454" s="80"/>
    </row>
    <row r="455">
      <c r="A455" s="84"/>
      <c r="D455" s="80"/>
    </row>
    <row r="456">
      <c r="A456" s="84"/>
      <c r="D456" s="80"/>
    </row>
    <row r="457">
      <c r="A457" s="84"/>
      <c r="D457" s="80"/>
    </row>
    <row r="458">
      <c r="A458" s="84"/>
      <c r="D458" s="80"/>
    </row>
    <row r="459">
      <c r="A459" s="84"/>
      <c r="D459" s="80"/>
    </row>
    <row r="460">
      <c r="A460" s="84"/>
      <c r="D460" s="80"/>
    </row>
    <row r="461">
      <c r="A461" s="84"/>
      <c r="D461" s="80"/>
    </row>
    <row r="462">
      <c r="A462" s="84"/>
      <c r="D462" s="80"/>
    </row>
    <row r="463">
      <c r="A463" s="84"/>
      <c r="D463" s="80"/>
    </row>
    <row r="464">
      <c r="A464" s="84"/>
      <c r="D464" s="80"/>
    </row>
    <row r="465">
      <c r="A465" s="84"/>
      <c r="D465" s="80"/>
    </row>
    <row r="466">
      <c r="A466" s="84"/>
      <c r="D466" s="80"/>
    </row>
    <row r="467">
      <c r="A467" s="84"/>
      <c r="D467" s="80"/>
    </row>
    <row r="468">
      <c r="A468" s="84"/>
      <c r="D468" s="80"/>
    </row>
    <row r="469">
      <c r="A469" s="84"/>
      <c r="D469" s="80"/>
    </row>
    <row r="470">
      <c r="A470" s="84"/>
      <c r="D470" s="80"/>
    </row>
    <row r="471">
      <c r="A471" s="84"/>
      <c r="D471" s="80"/>
    </row>
    <row r="472">
      <c r="A472" s="84"/>
      <c r="D472" s="80"/>
    </row>
    <row r="473">
      <c r="A473" s="84"/>
      <c r="D473" s="80"/>
    </row>
    <row r="474">
      <c r="A474" s="84"/>
      <c r="D474" s="80"/>
    </row>
    <row r="475">
      <c r="A475" s="84"/>
      <c r="D475" s="80"/>
    </row>
    <row r="476">
      <c r="A476" s="84"/>
      <c r="D476" s="80"/>
    </row>
    <row r="477">
      <c r="A477" s="84"/>
      <c r="D477" s="80"/>
    </row>
    <row r="478">
      <c r="A478" s="84"/>
      <c r="D478" s="80"/>
    </row>
    <row r="479">
      <c r="A479" s="84"/>
      <c r="D479" s="80"/>
    </row>
    <row r="480">
      <c r="A480" s="84"/>
      <c r="D480" s="80"/>
    </row>
    <row r="481">
      <c r="A481" s="84"/>
      <c r="D481" s="80"/>
    </row>
    <row r="482">
      <c r="A482" s="84"/>
      <c r="D482" s="80"/>
    </row>
    <row r="483">
      <c r="A483" s="84"/>
      <c r="D483" s="80"/>
    </row>
    <row r="484">
      <c r="A484" s="84"/>
      <c r="D484" s="80"/>
    </row>
    <row r="485">
      <c r="A485" s="84"/>
      <c r="D485" s="80"/>
    </row>
    <row r="486">
      <c r="A486" s="84"/>
      <c r="D486" s="80"/>
    </row>
    <row r="487">
      <c r="A487" s="84"/>
      <c r="D487" s="80"/>
    </row>
    <row r="488">
      <c r="A488" s="84"/>
      <c r="D488" s="80"/>
    </row>
    <row r="489">
      <c r="A489" s="84"/>
      <c r="D489" s="80"/>
    </row>
    <row r="490">
      <c r="A490" s="84"/>
      <c r="D490" s="80"/>
    </row>
    <row r="491">
      <c r="A491" s="84"/>
      <c r="D491" s="80"/>
    </row>
    <row r="492">
      <c r="A492" s="84"/>
      <c r="D492" s="80"/>
    </row>
    <row r="493">
      <c r="A493" s="84"/>
      <c r="D493" s="80"/>
    </row>
    <row r="494">
      <c r="A494" s="84"/>
      <c r="D494" s="80"/>
    </row>
    <row r="495">
      <c r="A495" s="84"/>
      <c r="D495" s="80"/>
    </row>
    <row r="496">
      <c r="A496" s="84"/>
      <c r="D496" s="80"/>
    </row>
    <row r="497">
      <c r="A497" s="84"/>
      <c r="D497" s="80"/>
    </row>
    <row r="498">
      <c r="A498" s="84"/>
      <c r="D498" s="80"/>
    </row>
    <row r="499">
      <c r="A499" s="84"/>
      <c r="D499" s="80"/>
    </row>
    <row r="500">
      <c r="A500" s="84"/>
      <c r="D500" s="80"/>
    </row>
    <row r="501">
      <c r="A501" s="84"/>
      <c r="D501" s="80"/>
    </row>
    <row r="502">
      <c r="A502" s="84"/>
      <c r="D502" s="80"/>
    </row>
    <row r="503">
      <c r="A503" s="84"/>
      <c r="D503" s="80"/>
    </row>
    <row r="504">
      <c r="A504" s="84"/>
      <c r="D504" s="80"/>
    </row>
    <row r="505">
      <c r="A505" s="84"/>
      <c r="D505" s="80"/>
    </row>
    <row r="506">
      <c r="A506" s="84"/>
      <c r="D506" s="80"/>
    </row>
    <row r="507">
      <c r="A507" s="84"/>
      <c r="D507" s="80"/>
    </row>
    <row r="508">
      <c r="A508" s="84"/>
      <c r="D508" s="80"/>
    </row>
    <row r="509">
      <c r="A509" s="84"/>
      <c r="D509" s="80"/>
    </row>
    <row r="510">
      <c r="A510" s="84"/>
      <c r="D510" s="80"/>
    </row>
    <row r="511">
      <c r="A511" s="84"/>
      <c r="D511" s="80"/>
    </row>
    <row r="512">
      <c r="A512" s="84"/>
      <c r="D512" s="80"/>
    </row>
    <row r="513">
      <c r="A513" s="84"/>
      <c r="D513" s="80"/>
    </row>
    <row r="514">
      <c r="A514" s="84"/>
      <c r="D514" s="80"/>
    </row>
    <row r="515">
      <c r="A515" s="84"/>
      <c r="D515" s="80"/>
    </row>
    <row r="516">
      <c r="A516" s="84"/>
      <c r="D516" s="80"/>
    </row>
    <row r="517">
      <c r="A517" s="84"/>
      <c r="D517" s="80"/>
    </row>
    <row r="518">
      <c r="A518" s="84"/>
      <c r="D518" s="80"/>
    </row>
    <row r="519">
      <c r="A519" s="84"/>
      <c r="D519" s="80"/>
    </row>
    <row r="520">
      <c r="A520" s="84"/>
      <c r="D520" s="80"/>
    </row>
    <row r="521">
      <c r="A521" s="84"/>
      <c r="D521" s="80"/>
    </row>
    <row r="522">
      <c r="A522" s="84"/>
      <c r="D522" s="80"/>
    </row>
    <row r="523">
      <c r="A523" s="84"/>
      <c r="D523" s="80"/>
    </row>
    <row r="524">
      <c r="A524" s="84"/>
      <c r="D524" s="80"/>
    </row>
    <row r="525">
      <c r="A525" s="84"/>
      <c r="D525" s="80"/>
    </row>
    <row r="526">
      <c r="A526" s="84"/>
      <c r="D526" s="80"/>
    </row>
    <row r="527">
      <c r="A527" s="84"/>
      <c r="D527" s="80"/>
    </row>
    <row r="528">
      <c r="A528" s="84"/>
      <c r="D528" s="80"/>
    </row>
    <row r="529">
      <c r="A529" s="84"/>
      <c r="D529" s="80"/>
    </row>
    <row r="530">
      <c r="A530" s="84"/>
      <c r="D530" s="80"/>
    </row>
    <row r="531">
      <c r="A531" s="84"/>
      <c r="D531" s="80"/>
    </row>
    <row r="532">
      <c r="A532" s="84"/>
      <c r="D532" s="80"/>
    </row>
    <row r="533">
      <c r="A533" s="84"/>
      <c r="D533" s="80"/>
    </row>
    <row r="534">
      <c r="A534" s="84"/>
      <c r="D534" s="80"/>
    </row>
    <row r="535">
      <c r="A535" s="84"/>
      <c r="D535" s="80"/>
    </row>
    <row r="536">
      <c r="A536" s="84"/>
      <c r="D536" s="80"/>
    </row>
    <row r="537">
      <c r="A537" s="84"/>
      <c r="D537" s="80"/>
    </row>
    <row r="538">
      <c r="A538" s="84"/>
      <c r="D538" s="80"/>
    </row>
    <row r="539">
      <c r="A539" s="84"/>
      <c r="D539" s="80"/>
    </row>
    <row r="540">
      <c r="A540" s="84"/>
      <c r="D540" s="80"/>
    </row>
    <row r="541">
      <c r="A541" s="84"/>
      <c r="D541" s="80"/>
    </row>
    <row r="542">
      <c r="A542" s="84"/>
      <c r="D542" s="80"/>
    </row>
    <row r="543">
      <c r="A543" s="84"/>
      <c r="D543" s="80"/>
    </row>
    <row r="544">
      <c r="A544" s="84"/>
      <c r="D544" s="80"/>
    </row>
    <row r="545">
      <c r="A545" s="84"/>
      <c r="D545" s="80"/>
    </row>
    <row r="546">
      <c r="A546" s="84"/>
      <c r="D546" s="80"/>
    </row>
    <row r="547">
      <c r="A547" s="84"/>
      <c r="D547" s="80"/>
    </row>
    <row r="548">
      <c r="A548" s="84"/>
      <c r="D548" s="80"/>
    </row>
    <row r="549">
      <c r="A549" s="84"/>
      <c r="D549" s="80"/>
    </row>
    <row r="550">
      <c r="A550" s="84"/>
      <c r="D550" s="80"/>
    </row>
    <row r="551">
      <c r="A551" s="84"/>
      <c r="D551" s="80"/>
    </row>
    <row r="552">
      <c r="A552" s="84"/>
      <c r="D552" s="80"/>
    </row>
    <row r="553">
      <c r="A553" s="84"/>
      <c r="D553" s="80"/>
    </row>
    <row r="554">
      <c r="A554" s="84"/>
      <c r="D554" s="80"/>
    </row>
    <row r="555">
      <c r="A555" s="84"/>
      <c r="D555" s="80"/>
    </row>
    <row r="556">
      <c r="A556" s="84"/>
      <c r="D556" s="80"/>
    </row>
    <row r="557">
      <c r="A557" s="84"/>
      <c r="D557" s="80"/>
    </row>
    <row r="558">
      <c r="A558" s="84"/>
      <c r="D558" s="80"/>
    </row>
    <row r="559">
      <c r="A559" s="84"/>
      <c r="D559" s="80"/>
    </row>
    <row r="560">
      <c r="A560" s="84"/>
      <c r="D560" s="80"/>
    </row>
    <row r="561">
      <c r="A561" s="84"/>
      <c r="D561" s="80"/>
    </row>
    <row r="562">
      <c r="A562" s="84"/>
      <c r="D562" s="80"/>
    </row>
    <row r="563">
      <c r="A563" s="84"/>
      <c r="D563" s="80"/>
    </row>
    <row r="564">
      <c r="A564" s="84"/>
      <c r="D564" s="80"/>
    </row>
    <row r="565">
      <c r="A565" s="84"/>
      <c r="D565" s="80"/>
    </row>
    <row r="566">
      <c r="A566" s="84"/>
      <c r="D566" s="80"/>
    </row>
    <row r="567">
      <c r="A567" s="84"/>
      <c r="D567" s="80"/>
    </row>
    <row r="568">
      <c r="A568" s="84"/>
      <c r="D568" s="80"/>
    </row>
    <row r="569">
      <c r="A569" s="84"/>
      <c r="D569" s="80"/>
    </row>
    <row r="570">
      <c r="A570" s="84"/>
      <c r="D570" s="80"/>
    </row>
    <row r="571">
      <c r="A571" s="84"/>
      <c r="D571" s="80"/>
    </row>
    <row r="572">
      <c r="A572" s="84"/>
      <c r="D572" s="80"/>
    </row>
    <row r="573">
      <c r="A573" s="84"/>
      <c r="D573" s="80"/>
    </row>
    <row r="574">
      <c r="A574" s="84"/>
      <c r="D574" s="80"/>
    </row>
    <row r="575">
      <c r="A575" s="84"/>
      <c r="D575" s="80"/>
    </row>
    <row r="576">
      <c r="A576" s="84"/>
      <c r="D576" s="80"/>
    </row>
    <row r="577">
      <c r="A577" s="84"/>
      <c r="D577" s="80"/>
    </row>
    <row r="578">
      <c r="A578" s="84"/>
      <c r="D578" s="80"/>
    </row>
    <row r="579">
      <c r="A579" s="84"/>
      <c r="D579" s="80"/>
    </row>
    <row r="580">
      <c r="A580" s="84"/>
      <c r="D580" s="80"/>
    </row>
    <row r="581">
      <c r="A581" s="84"/>
      <c r="D581" s="80"/>
    </row>
    <row r="582">
      <c r="A582" s="84"/>
      <c r="D582" s="80"/>
    </row>
    <row r="583">
      <c r="A583" s="84"/>
      <c r="D583" s="80"/>
    </row>
    <row r="584">
      <c r="A584" s="84"/>
      <c r="D584" s="80"/>
    </row>
    <row r="585">
      <c r="A585" s="84"/>
      <c r="D585" s="80"/>
    </row>
    <row r="586">
      <c r="A586" s="84"/>
      <c r="D586" s="80"/>
    </row>
    <row r="587">
      <c r="A587" s="84"/>
      <c r="D587" s="80"/>
    </row>
    <row r="588">
      <c r="A588" s="84"/>
      <c r="D588" s="80"/>
    </row>
    <row r="589">
      <c r="A589" s="84"/>
      <c r="D589" s="80"/>
    </row>
    <row r="590">
      <c r="A590" s="84"/>
      <c r="D590" s="80"/>
    </row>
    <row r="591">
      <c r="A591" s="84"/>
      <c r="D591" s="80"/>
    </row>
    <row r="592">
      <c r="A592" s="84"/>
      <c r="D592" s="80"/>
    </row>
    <row r="593">
      <c r="A593" s="84"/>
      <c r="D593" s="80"/>
    </row>
    <row r="594">
      <c r="A594" s="84"/>
      <c r="D594" s="80"/>
    </row>
    <row r="595">
      <c r="A595" s="84"/>
      <c r="D595" s="80"/>
    </row>
    <row r="596">
      <c r="A596" s="84"/>
      <c r="D596" s="80"/>
    </row>
    <row r="597">
      <c r="A597" s="84"/>
      <c r="D597" s="80"/>
    </row>
    <row r="598">
      <c r="A598" s="84"/>
      <c r="D598" s="80"/>
    </row>
    <row r="599">
      <c r="A599" s="84"/>
      <c r="D599" s="80"/>
    </row>
    <row r="600">
      <c r="A600" s="84"/>
      <c r="D600" s="80"/>
    </row>
    <row r="601">
      <c r="A601" s="84"/>
      <c r="D601" s="80"/>
    </row>
    <row r="602">
      <c r="A602" s="84"/>
      <c r="D602" s="80"/>
    </row>
    <row r="603">
      <c r="A603" s="84"/>
      <c r="D603" s="80"/>
    </row>
    <row r="604">
      <c r="A604" s="84"/>
      <c r="D604" s="80"/>
    </row>
    <row r="605">
      <c r="A605" s="84"/>
      <c r="D605" s="80"/>
    </row>
    <row r="606">
      <c r="A606" s="84"/>
      <c r="D606" s="80"/>
    </row>
    <row r="607">
      <c r="A607" s="84"/>
      <c r="D607" s="80"/>
    </row>
    <row r="608">
      <c r="A608" s="84"/>
      <c r="D608" s="80"/>
    </row>
    <row r="609">
      <c r="A609" s="84"/>
      <c r="D609" s="80"/>
    </row>
    <row r="610">
      <c r="A610" s="84"/>
      <c r="D610" s="80"/>
    </row>
    <row r="611">
      <c r="A611" s="84"/>
      <c r="D611" s="80"/>
    </row>
    <row r="612">
      <c r="A612" s="84"/>
      <c r="D612" s="80"/>
    </row>
    <row r="613">
      <c r="A613" s="84"/>
      <c r="D613" s="80"/>
    </row>
    <row r="614">
      <c r="A614" s="84"/>
      <c r="D614" s="80"/>
    </row>
    <row r="615">
      <c r="A615" s="84"/>
      <c r="D615" s="80"/>
    </row>
    <row r="616">
      <c r="A616" s="84"/>
      <c r="D616" s="80"/>
    </row>
    <row r="617">
      <c r="A617" s="84"/>
      <c r="D617" s="80"/>
    </row>
    <row r="618">
      <c r="A618" s="84"/>
      <c r="D618" s="80"/>
    </row>
    <row r="619">
      <c r="A619" s="84"/>
      <c r="D619" s="80"/>
    </row>
    <row r="620">
      <c r="A620" s="84"/>
      <c r="D620" s="80"/>
    </row>
    <row r="621">
      <c r="A621" s="84"/>
      <c r="D621" s="80"/>
    </row>
    <row r="622">
      <c r="A622" s="84"/>
      <c r="D622" s="80"/>
    </row>
    <row r="623">
      <c r="A623" s="84"/>
      <c r="D623" s="80"/>
    </row>
    <row r="624">
      <c r="A624" s="84"/>
      <c r="D624" s="80"/>
    </row>
    <row r="625">
      <c r="A625" s="84"/>
      <c r="D625" s="80"/>
    </row>
    <row r="626">
      <c r="A626" s="84"/>
      <c r="D626" s="80"/>
    </row>
    <row r="627">
      <c r="A627" s="84"/>
      <c r="D627" s="80"/>
    </row>
    <row r="628">
      <c r="A628" s="84"/>
      <c r="D628" s="80"/>
    </row>
    <row r="629">
      <c r="A629" s="84"/>
      <c r="D629" s="80"/>
    </row>
    <row r="630">
      <c r="A630" s="84"/>
      <c r="D630" s="80"/>
    </row>
    <row r="631">
      <c r="A631" s="84"/>
      <c r="D631" s="80"/>
    </row>
    <row r="632">
      <c r="A632" s="84"/>
      <c r="D632" s="80"/>
    </row>
    <row r="633">
      <c r="A633" s="84"/>
      <c r="D633" s="80"/>
    </row>
    <row r="634">
      <c r="A634" s="84"/>
      <c r="D634" s="80"/>
    </row>
    <row r="635">
      <c r="A635" s="84"/>
      <c r="D635" s="80"/>
    </row>
    <row r="636">
      <c r="A636" s="84"/>
      <c r="D636" s="80"/>
    </row>
    <row r="637">
      <c r="A637" s="84"/>
      <c r="D637" s="80"/>
    </row>
    <row r="638">
      <c r="A638" s="84"/>
      <c r="D638" s="80"/>
    </row>
    <row r="639">
      <c r="A639" s="84"/>
      <c r="D639" s="80"/>
    </row>
    <row r="640">
      <c r="A640" s="84"/>
      <c r="D640" s="80"/>
    </row>
    <row r="641">
      <c r="A641" s="84"/>
      <c r="D641" s="80"/>
    </row>
    <row r="642">
      <c r="A642" s="84"/>
      <c r="D642" s="80"/>
    </row>
    <row r="643">
      <c r="A643" s="84"/>
      <c r="D643" s="80"/>
    </row>
    <row r="644">
      <c r="A644" s="84"/>
      <c r="D644" s="80"/>
    </row>
    <row r="645">
      <c r="A645" s="84"/>
      <c r="D645" s="80"/>
    </row>
    <row r="646">
      <c r="A646" s="84"/>
      <c r="D646" s="80"/>
    </row>
    <row r="647">
      <c r="A647" s="84"/>
      <c r="D647" s="80"/>
    </row>
    <row r="648">
      <c r="A648" s="84"/>
      <c r="D648" s="80"/>
    </row>
    <row r="649">
      <c r="A649" s="84"/>
      <c r="D649" s="80"/>
    </row>
    <row r="650">
      <c r="A650" s="84"/>
      <c r="D650" s="80"/>
    </row>
    <row r="651">
      <c r="A651" s="84"/>
      <c r="D651" s="80"/>
    </row>
    <row r="652">
      <c r="A652" s="84"/>
      <c r="D652" s="80"/>
    </row>
    <row r="653">
      <c r="A653" s="84"/>
      <c r="D653" s="80"/>
    </row>
    <row r="654">
      <c r="A654" s="84"/>
      <c r="D654" s="80"/>
    </row>
    <row r="655">
      <c r="A655" s="84"/>
      <c r="D655" s="80"/>
    </row>
    <row r="656">
      <c r="A656" s="84"/>
      <c r="D656" s="80"/>
    </row>
    <row r="657">
      <c r="A657" s="84"/>
      <c r="D657" s="80"/>
    </row>
    <row r="658">
      <c r="A658" s="84"/>
      <c r="D658" s="80"/>
    </row>
    <row r="659">
      <c r="A659" s="84"/>
      <c r="D659" s="80"/>
    </row>
    <row r="660">
      <c r="A660" s="84"/>
      <c r="D660" s="80"/>
    </row>
    <row r="661">
      <c r="A661" s="84"/>
      <c r="D661" s="80"/>
    </row>
    <row r="662">
      <c r="A662" s="84"/>
      <c r="D662" s="80"/>
    </row>
    <row r="663">
      <c r="A663" s="84"/>
      <c r="D663" s="80"/>
    </row>
    <row r="664">
      <c r="A664" s="84"/>
      <c r="D664" s="80"/>
    </row>
    <row r="665">
      <c r="A665" s="84"/>
      <c r="D665" s="80"/>
    </row>
    <row r="666">
      <c r="A666" s="84"/>
      <c r="D666" s="80"/>
    </row>
    <row r="667">
      <c r="A667" s="84"/>
      <c r="D667" s="80"/>
    </row>
    <row r="668">
      <c r="A668" s="84"/>
      <c r="D668" s="80"/>
    </row>
    <row r="669">
      <c r="A669" s="84"/>
      <c r="D669" s="80"/>
    </row>
    <row r="670">
      <c r="A670" s="84"/>
      <c r="D670" s="80"/>
    </row>
    <row r="671">
      <c r="A671" s="84"/>
      <c r="D671" s="80"/>
    </row>
    <row r="672">
      <c r="A672" s="84"/>
      <c r="D672" s="80"/>
    </row>
    <row r="673">
      <c r="A673" s="84"/>
      <c r="D673" s="80"/>
    </row>
    <row r="674">
      <c r="A674" s="84"/>
      <c r="D674" s="80"/>
    </row>
    <row r="675">
      <c r="A675" s="84"/>
      <c r="D675" s="80"/>
    </row>
    <row r="676">
      <c r="A676" s="84"/>
      <c r="D676" s="80"/>
    </row>
    <row r="677">
      <c r="A677" s="84"/>
      <c r="D677" s="80"/>
    </row>
    <row r="678">
      <c r="A678" s="84"/>
      <c r="D678" s="80"/>
    </row>
    <row r="679">
      <c r="A679" s="84"/>
      <c r="D679" s="80"/>
    </row>
    <row r="680">
      <c r="A680" s="84"/>
      <c r="D680" s="80"/>
    </row>
    <row r="681">
      <c r="A681" s="84"/>
      <c r="D681" s="80"/>
    </row>
    <row r="682">
      <c r="A682" s="84"/>
      <c r="D682" s="80"/>
    </row>
    <row r="683">
      <c r="A683" s="84"/>
      <c r="D683" s="80"/>
    </row>
    <row r="684">
      <c r="A684" s="84"/>
      <c r="D684" s="80"/>
    </row>
    <row r="685">
      <c r="A685" s="84"/>
      <c r="D685" s="80"/>
    </row>
    <row r="686">
      <c r="A686" s="84"/>
      <c r="D686" s="80"/>
    </row>
    <row r="687">
      <c r="A687" s="84"/>
      <c r="D687" s="80"/>
    </row>
    <row r="688">
      <c r="A688" s="84"/>
      <c r="D688" s="80"/>
    </row>
    <row r="689">
      <c r="A689" s="84"/>
      <c r="D689" s="80"/>
    </row>
    <row r="690">
      <c r="A690" s="84"/>
      <c r="D690" s="80"/>
    </row>
    <row r="691">
      <c r="A691" s="84"/>
      <c r="D691" s="80"/>
    </row>
    <row r="692">
      <c r="A692" s="84"/>
      <c r="D692" s="80"/>
    </row>
    <row r="693">
      <c r="A693" s="84"/>
      <c r="D693" s="80"/>
    </row>
    <row r="694">
      <c r="A694" s="84"/>
      <c r="D694" s="80"/>
    </row>
    <row r="695">
      <c r="A695" s="84"/>
      <c r="D695" s="80"/>
    </row>
    <row r="696">
      <c r="A696" s="84"/>
      <c r="D696" s="80"/>
    </row>
    <row r="697">
      <c r="A697" s="84"/>
      <c r="D697" s="80"/>
    </row>
    <row r="698">
      <c r="A698" s="84"/>
      <c r="D698" s="80"/>
    </row>
    <row r="699">
      <c r="A699" s="84"/>
      <c r="D699" s="80"/>
    </row>
    <row r="700">
      <c r="A700" s="84"/>
      <c r="D700" s="80"/>
    </row>
    <row r="701">
      <c r="A701" s="84"/>
      <c r="D701" s="80"/>
    </row>
    <row r="702">
      <c r="A702" s="84"/>
      <c r="D702" s="80"/>
    </row>
    <row r="703">
      <c r="A703" s="84"/>
      <c r="D703" s="80"/>
    </row>
    <row r="704">
      <c r="A704" s="84"/>
      <c r="D704" s="80"/>
    </row>
    <row r="705">
      <c r="A705" s="84"/>
      <c r="D705" s="80"/>
    </row>
    <row r="706">
      <c r="A706" s="84"/>
      <c r="D706" s="80"/>
    </row>
    <row r="707">
      <c r="A707" s="84"/>
      <c r="D707" s="80"/>
    </row>
    <row r="708">
      <c r="A708" s="84"/>
      <c r="D708" s="80"/>
    </row>
    <row r="709">
      <c r="A709" s="84"/>
      <c r="D709" s="80"/>
    </row>
    <row r="710">
      <c r="A710" s="84"/>
      <c r="D710" s="80"/>
    </row>
    <row r="711">
      <c r="A711" s="84"/>
      <c r="D711" s="80"/>
    </row>
    <row r="712">
      <c r="A712" s="84"/>
      <c r="D712" s="80"/>
    </row>
    <row r="713">
      <c r="A713" s="84"/>
      <c r="D713" s="80"/>
    </row>
    <row r="714">
      <c r="A714" s="84"/>
      <c r="D714" s="80"/>
    </row>
    <row r="715">
      <c r="A715" s="84"/>
      <c r="D715" s="80"/>
    </row>
    <row r="716">
      <c r="A716" s="84"/>
      <c r="D716" s="80"/>
    </row>
    <row r="717">
      <c r="A717" s="84"/>
      <c r="D717" s="80"/>
    </row>
    <row r="718">
      <c r="A718" s="84"/>
      <c r="D718" s="80"/>
    </row>
    <row r="719">
      <c r="A719" s="84"/>
      <c r="D719" s="80"/>
    </row>
    <row r="720">
      <c r="A720" s="84"/>
      <c r="D720" s="80"/>
    </row>
    <row r="721">
      <c r="A721" s="84"/>
      <c r="D721" s="80"/>
    </row>
    <row r="722">
      <c r="A722" s="84"/>
      <c r="D722" s="80"/>
    </row>
    <row r="723">
      <c r="A723" s="84"/>
      <c r="D723" s="80"/>
    </row>
    <row r="724">
      <c r="A724" s="84"/>
      <c r="D724" s="80"/>
    </row>
    <row r="725">
      <c r="A725" s="84"/>
      <c r="D725" s="80"/>
    </row>
    <row r="726">
      <c r="A726" s="84"/>
      <c r="D726" s="80"/>
    </row>
    <row r="727">
      <c r="A727" s="84"/>
      <c r="D727" s="80"/>
    </row>
    <row r="728">
      <c r="A728" s="84"/>
      <c r="D728" s="80"/>
    </row>
    <row r="729">
      <c r="A729" s="84"/>
      <c r="D729" s="80"/>
    </row>
    <row r="730">
      <c r="A730" s="84"/>
      <c r="D730" s="80"/>
    </row>
    <row r="731">
      <c r="A731" s="84"/>
      <c r="D731" s="80"/>
    </row>
    <row r="732">
      <c r="A732" s="84"/>
      <c r="D732" s="80"/>
    </row>
    <row r="733">
      <c r="A733" s="84"/>
      <c r="D733" s="80"/>
    </row>
    <row r="734">
      <c r="A734" s="84"/>
      <c r="D734" s="80"/>
    </row>
    <row r="735">
      <c r="A735" s="84"/>
      <c r="D735" s="80"/>
    </row>
    <row r="736">
      <c r="A736" s="84"/>
      <c r="D736" s="80"/>
    </row>
    <row r="737">
      <c r="A737" s="84"/>
      <c r="D737" s="80"/>
    </row>
    <row r="738">
      <c r="A738" s="84"/>
      <c r="D738" s="80"/>
    </row>
    <row r="739">
      <c r="A739" s="84"/>
      <c r="D739" s="80"/>
    </row>
    <row r="740">
      <c r="A740" s="84"/>
      <c r="D740" s="80"/>
    </row>
    <row r="741">
      <c r="A741" s="84"/>
      <c r="D741" s="80"/>
    </row>
    <row r="742">
      <c r="A742" s="84"/>
      <c r="D742" s="80"/>
    </row>
    <row r="743">
      <c r="A743" s="84"/>
      <c r="D743" s="80"/>
    </row>
    <row r="744">
      <c r="A744" s="84"/>
      <c r="D744" s="80"/>
    </row>
    <row r="745">
      <c r="A745" s="84"/>
      <c r="D745" s="80"/>
    </row>
    <row r="746">
      <c r="A746" s="84"/>
      <c r="D746" s="80"/>
    </row>
    <row r="747">
      <c r="A747" s="84"/>
      <c r="D747" s="80"/>
    </row>
    <row r="748">
      <c r="A748" s="84"/>
      <c r="D748" s="80"/>
    </row>
    <row r="749">
      <c r="A749" s="84"/>
      <c r="D749" s="80"/>
    </row>
    <row r="750">
      <c r="A750" s="84"/>
      <c r="D750" s="80"/>
    </row>
    <row r="751">
      <c r="A751" s="84"/>
      <c r="D751" s="80"/>
    </row>
    <row r="752">
      <c r="A752" s="84"/>
      <c r="D752" s="80"/>
    </row>
    <row r="753">
      <c r="A753" s="84"/>
      <c r="D753" s="80"/>
    </row>
    <row r="754">
      <c r="A754" s="84"/>
      <c r="D754" s="80"/>
    </row>
    <row r="755">
      <c r="A755" s="84"/>
      <c r="D755" s="80"/>
    </row>
    <row r="756">
      <c r="A756" s="84"/>
      <c r="D756" s="80"/>
    </row>
    <row r="757">
      <c r="A757" s="84"/>
      <c r="D757" s="80"/>
    </row>
    <row r="758">
      <c r="A758" s="84"/>
      <c r="D758" s="80"/>
    </row>
    <row r="759">
      <c r="A759" s="84"/>
      <c r="D759" s="80"/>
    </row>
    <row r="760">
      <c r="A760" s="84"/>
      <c r="D760" s="80"/>
    </row>
    <row r="761">
      <c r="A761" s="84"/>
      <c r="D761" s="80"/>
    </row>
    <row r="762">
      <c r="A762" s="84"/>
      <c r="D762" s="80"/>
    </row>
    <row r="763">
      <c r="A763" s="84"/>
      <c r="D763" s="80"/>
    </row>
    <row r="764">
      <c r="A764" s="84"/>
      <c r="D764" s="80"/>
    </row>
    <row r="765">
      <c r="A765" s="84"/>
      <c r="D765" s="80"/>
    </row>
    <row r="766">
      <c r="A766" s="84"/>
      <c r="D766" s="80"/>
    </row>
    <row r="767">
      <c r="A767" s="84"/>
      <c r="D767" s="80"/>
    </row>
    <row r="768">
      <c r="A768" s="84"/>
      <c r="D768" s="80"/>
    </row>
    <row r="769">
      <c r="A769" s="84"/>
      <c r="D769" s="80"/>
    </row>
    <row r="770">
      <c r="A770" s="84"/>
      <c r="D770" s="80"/>
    </row>
    <row r="771">
      <c r="A771" s="84"/>
      <c r="D771" s="80"/>
    </row>
    <row r="772">
      <c r="A772" s="84"/>
      <c r="D772" s="80"/>
    </row>
    <row r="773">
      <c r="A773" s="84"/>
      <c r="D773" s="80"/>
    </row>
    <row r="774">
      <c r="A774" s="84"/>
      <c r="D774" s="80"/>
    </row>
    <row r="775">
      <c r="A775" s="84"/>
      <c r="D775" s="80"/>
    </row>
    <row r="776">
      <c r="A776" s="84"/>
      <c r="D776" s="80"/>
    </row>
    <row r="777">
      <c r="A777" s="84"/>
      <c r="D777" s="80"/>
    </row>
    <row r="778">
      <c r="A778" s="84"/>
      <c r="D778" s="80"/>
    </row>
    <row r="779">
      <c r="A779" s="84"/>
      <c r="D779" s="80"/>
    </row>
    <row r="780">
      <c r="A780" s="84"/>
      <c r="D780" s="80"/>
    </row>
    <row r="781">
      <c r="A781" s="84"/>
      <c r="D781" s="80"/>
    </row>
    <row r="782">
      <c r="A782" s="84"/>
      <c r="D782" s="80"/>
    </row>
    <row r="783">
      <c r="A783" s="84"/>
      <c r="D783" s="80"/>
    </row>
    <row r="784">
      <c r="A784" s="84"/>
      <c r="D784" s="80"/>
    </row>
    <row r="785">
      <c r="A785" s="84"/>
      <c r="D785" s="80"/>
    </row>
    <row r="786">
      <c r="A786" s="84"/>
      <c r="D786" s="80"/>
    </row>
    <row r="787">
      <c r="A787" s="84"/>
      <c r="D787" s="80"/>
    </row>
    <row r="788">
      <c r="A788" s="84"/>
      <c r="D788" s="80"/>
    </row>
    <row r="789">
      <c r="A789" s="84"/>
      <c r="D789" s="80"/>
    </row>
    <row r="790">
      <c r="A790" s="84"/>
      <c r="D790" s="80"/>
    </row>
    <row r="791">
      <c r="A791" s="84"/>
      <c r="D791" s="80"/>
    </row>
    <row r="792">
      <c r="A792" s="84"/>
      <c r="D792" s="80"/>
    </row>
    <row r="793">
      <c r="A793" s="84"/>
      <c r="D793" s="80"/>
    </row>
    <row r="794">
      <c r="A794" s="84"/>
      <c r="D794" s="80"/>
    </row>
    <row r="795">
      <c r="A795" s="84"/>
      <c r="D795" s="80"/>
    </row>
    <row r="796">
      <c r="A796" s="84"/>
      <c r="D796" s="80"/>
    </row>
    <row r="797">
      <c r="A797" s="84"/>
      <c r="D797" s="80"/>
    </row>
    <row r="798">
      <c r="A798" s="84"/>
      <c r="D798" s="80"/>
    </row>
    <row r="799">
      <c r="A799" s="84"/>
      <c r="D799" s="80"/>
    </row>
    <row r="800">
      <c r="A800" s="84"/>
      <c r="D800" s="80"/>
    </row>
    <row r="801">
      <c r="A801" s="84"/>
      <c r="D801" s="80"/>
    </row>
    <row r="802">
      <c r="A802" s="84"/>
      <c r="D802" s="80"/>
    </row>
    <row r="803">
      <c r="A803" s="84"/>
      <c r="D803" s="80"/>
    </row>
    <row r="804">
      <c r="A804" s="84"/>
      <c r="D804" s="80"/>
    </row>
    <row r="805">
      <c r="A805" s="84"/>
      <c r="D805" s="80"/>
    </row>
    <row r="806">
      <c r="A806" s="84"/>
      <c r="D806" s="80"/>
    </row>
    <row r="807">
      <c r="A807" s="84"/>
      <c r="D807" s="80"/>
    </row>
    <row r="808">
      <c r="A808" s="84"/>
      <c r="D808" s="80"/>
    </row>
    <row r="809">
      <c r="A809" s="84"/>
      <c r="D809" s="80"/>
    </row>
    <row r="810">
      <c r="A810" s="84"/>
      <c r="D810" s="80"/>
    </row>
    <row r="811">
      <c r="A811" s="84"/>
      <c r="D811" s="80"/>
    </row>
    <row r="812">
      <c r="A812" s="84"/>
      <c r="D812" s="80"/>
    </row>
    <row r="813">
      <c r="A813" s="84"/>
      <c r="D813" s="80"/>
    </row>
    <row r="814">
      <c r="A814" s="84"/>
      <c r="D814" s="80"/>
    </row>
    <row r="815">
      <c r="A815" s="84"/>
      <c r="D815" s="80"/>
    </row>
    <row r="816">
      <c r="A816" s="84"/>
      <c r="D816" s="80"/>
    </row>
    <row r="817">
      <c r="A817" s="84"/>
      <c r="D817" s="80"/>
    </row>
    <row r="818">
      <c r="A818" s="84"/>
      <c r="D818" s="80"/>
    </row>
    <row r="819">
      <c r="A819" s="84"/>
      <c r="D819" s="80"/>
    </row>
    <row r="820">
      <c r="A820" s="84"/>
      <c r="D820" s="80"/>
    </row>
    <row r="821">
      <c r="A821" s="84"/>
      <c r="D821" s="80"/>
    </row>
    <row r="822">
      <c r="A822" s="84"/>
      <c r="D822" s="80"/>
    </row>
    <row r="823">
      <c r="A823" s="84"/>
      <c r="D823" s="80"/>
    </row>
    <row r="824">
      <c r="A824" s="84"/>
      <c r="D824" s="80"/>
    </row>
    <row r="825">
      <c r="A825" s="84"/>
      <c r="D825" s="80"/>
    </row>
    <row r="826">
      <c r="A826" s="84"/>
      <c r="D826" s="80"/>
    </row>
    <row r="827">
      <c r="A827" s="84"/>
      <c r="D827" s="80"/>
    </row>
    <row r="828">
      <c r="A828" s="84"/>
      <c r="D828" s="80"/>
    </row>
    <row r="829">
      <c r="A829" s="84"/>
      <c r="D829" s="80"/>
    </row>
    <row r="830">
      <c r="A830" s="84"/>
      <c r="D830" s="80"/>
    </row>
    <row r="831">
      <c r="A831" s="84"/>
      <c r="D831" s="80"/>
    </row>
    <row r="832">
      <c r="A832" s="84"/>
      <c r="D832" s="80"/>
    </row>
    <row r="833">
      <c r="A833" s="84"/>
      <c r="D833" s="80"/>
    </row>
    <row r="834">
      <c r="A834" s="84"/>
      <c r="D834" s="80"/>
    </row>
    <row r="835">
      <c r="A835" s="84"/>
      <c r="D835" s="80"/>
    </row>
    <row r="836">
      <c r="A836" s="84"/>
      <c r="D836" s="80"/>
    </row>
    <row r="837">
      <c r="A837" s="84"/>
      <c r="D837" s="80"/>
    </row>
    <row r="838">
      <c r="A838" s="84"/>
      <c r="D838" s="80"/>
    </row>
    <row r="839">
      <c r="A839" s="84"/>
      <c r="D839" s="80"/>
    </row>
    <row r="840">
      <c r="A840" s="84"/>
      <c r="D840" s="80"/>
    </row>
    <row r="841">
      <c r="A841" s="84"/>
      <c r="D841" s="80"/>
    </row>
    <row r="842">
      <c r="A842" s="84"/>
      <c r="D842" s="80"/>
    </row>
    <row r="843">
      <c r="A843" s="84"/>
      <c r="D843" s="80"/>
    </row>
    <row r="844">
      <c r="A844" s="84"/>
      <c r="D844" s="80"/>
    </row>
    <row r="845">
      <c r="A845" s="84"/>
      <c r="D845" s="80"/>
    </row>
    <row r="846">
      <c r="A846" s="84"/>
      <c r="D846" s="80"/>
    </row>
    <row r="847">
      <c r="A847" s="84"/>
      <c r="D847" s="80"/>
    </row>
    <row r="848">
      <c r="A848" s="84"/>
      <c r="D848" s="80"/>
    </row>
    <row r="849">
      <c r="A849" s="84"/>
      <c r="D849" s="80"/>
    </row>
    <row r="850">
      <c r="A850" s="84"/>
      <c r="D850" s="80"/>
    </row>
    <row r="851">
      <c r="A851" s="84"/>
      <c r="D851" s="80"/>
    </row>
    <row r="852">
      <c r="A852" s="84"/>
      <c r="D852" s="80"/>
    </row>
    <row r="853">
      <c r="A853" s="84"/>
      <c r="D853" s="80"/>
    </row>
    <row r="854">
      <c r="A854" s="84"/>
      <c r="D854" s="80"/>
    </row>
    <row r="855">
      <c r="A855" s="84"/>
      <c r="D855" s="80"/>
    </row>
    <row r="856">
      <c r="A856" s="84"/>
      <c r="D856" s="80"/>
    </row>
    <row r="857">
      <c r="A857" s="84"/>
      <c r="D857" s="80"/>
    </row>
    <row r="858">
      <c r="A858" s="84"/>
      <c r="D858" s="80"/>
    </row>
    <row r="859">
      <c r="A859" s="84"/>
      <c r="D859" s="80"/>
    </row>
    <row r="860">
      <c r="A860" s="84"/>
      <c r="D860" s="80"/>
    </row>
    <row r="861">
      <c r="A861" s="84"/>
      <c r="D861" s="80"/>
    </row>
    <row r="862">
      <c r="A862" s="84"/>
      <c r="D862" s="80"/>
    </row>
    <row r="863">
      <c r="A863" s="84"/>
      <c r="D863" s="80"/>
    </row>
    <row r="864">
      <c r="A864" s="84"/>
      <c r="D864" s="80"/>
    </row>
    <row r="865">
      <c r="A865" s="84"/>
      <c r="D865" s="80"/>
    </row>
    <row r="866">
      <c r="A866" s="84"/>
      <c r="D866" s="80"/>
    </row>
    <row r="867">
      <c r="A867" s="84"/>
      <c r="D867" s="80"/>
    </row>
    <row r="868">
      <c r="A868" s="84"/>
      <c r="D868" s="80"/>
    </row>
    <row r="869">
      <c r="A869" s="84"/>
      <c r="D869" s="80"/>
    </row>
    <row r="870">
      <c r="A870" s="84"/>
      <c r="D870" s="80"/>
    </row>
    <row r="871">
      <c r="A871" s="84"/>
      <c r="D871" s="80"/>
    </row>
    <row r="872">
      <c r="A872" s="84"/>
      <c r="D872" s="80"/>
    </row>
    <row r="873">
      <c r="A873" s="84"/>
      <c r="D873" s="80"/>
    </row>
    <row r="874">
      <c r="A874" s="84"/>
      <c r="D874" s="80"/>
    </row>
    <row r="875">
      <c r="A875" s="84"/>
      <c r="D875" s="80"/>
    </row>
    <row r="876">
      <c r="A876" s="84"/>
      <c r="D876" s="80"/>
    </row>
    <row r="877">
      <c r="A877" s="84"/>
      <c r="D877" s="80"/>
    </row>
    <row r="878">
      <c r="A878" s="84"/>
      <c r="D878" s="80"/>
    </row>
    <row r="879">
      <c r="A879" s="84"/>
      <c r="D879" s="80"/>
    </row>
    <row r="880">
      <c r="A880" s="84"/>
      <c r="D880" s="80"/>
    </row>
    <row r="881">
      <c r="A881" s="84"/>
      <c r="D881" s="80"/>
    </row>
    <row r="882">
      <c r="A882" s="84"/>
      <c r="D882" s="80"/>
    </row>
    <row r="883">
      <c r="A883" s="84"/>
      <c r="D883" s="80"/>
    </row>
    <row r="884">
      <c r="A884" s="84"/>
      <c r="D884" s="80"/>
    </row>
    <row r="885">
      <c r="A885" s="84"/>
      <c r="D885" s="80"/>
    </row>
    <row r="886">
      <c r="A886" s="84"/>
      <c r="D886" s="80"/>
    </row>
    <row r="887">
      <c r="A887" s="84"/>
      <c r="D887" s="80"/>
    </row>
    <row r="888">
      <c r="A888" s="84"/>
      <c r="D888" s="80"/>
    </row>
    <row r="889">
      <c r="A889" s="84"/>
      <c r="D889" s="80"/>
    </row>
    <row r="890">
      <c r="A890" s="84"/>
      <c r="D890" s="80"/>
    </row>
    <row r="891">
      <c r="A891" s="84"/>
      <c r="D891" s="80"/>
    </row>
    <row r="892">
      <c r="A892" s="84"/>
      <c r="D892" s="80"/>
    </row>
    <row r="893">
      <c r="A893" s="84"/>
      <c r="D893" s="80"/>
    </row>
    <row r="894">
      <c r="A894" s="84"/>
      <c r="D894" s="80"/>
    </row>
    <row r="895">
      <c r="A895" s="84"/>
      <c r="D895" s="80"/>
    </row>
    <row r="896">
      <c r="A896" s="84"/>
      <c r="D896" s="80"/>
    </row>
    <row r="897">
      <c r="A897" s="84"/>
      <c r="D897" s="80"/>
    </row>
    <row r="898">
      <c r="A898" s="84"/>
      <c r="D898" s="80"/>
    </row>
    <row r="899">
      <c r="A899" s="84"/>
      <c r="D899" s="80"/>
    </row>
    <row r="900">
      <c r="A900" s="84"/>
      <c r="D900" s="80"/>
    </row>
    <row r="901">
      <c r="A901" s="84"/>
      <c r="D901" s="80"/>
    </row>
    <row r="902">
      <c r="A902" s="84"/>
      <c r="D902" s="80"/>
    </row>
    <row r="903">
      <c r="A903" s="84"/>
      <c r="D903" s="80"/>
    </row>
    <row r="904">
      <c r="A904" s="84"/>
      <c r="D904" s="80"/>
    </row>
    <row r="905">
      <c r="A905" s="84"/>
      <c r="D905" s="80"/>
    </row>
    <row r="906">
      <c r="A906" s="84"/>
      <c r="D906" s="80"/>
    </row>
    <row r="907">
      <c r="A907" s="84"/>
      <c r="D907" s="80"/>
    </row>
    <row r="908">
      <c r="A908" s="84"/>
      <c r="D908" s="80"/>
    </row>
    <row r="909">
      <c r="A909" s="84"/>
      <c r="D909" s="80"/>
    </row>
    <row r="910">
      <c r="A910" s="84"/>
      <c r="D910" s="80"/>
    </row>
    <row r="911">
      <c r="A911" s="84"/>
      <c r="D911" s="80"/>
    </row>
    <row r="912">
      <c r="A912" s="84"/>
      <c r="D912" s="80"/>
    </row>
    <row r="913">
      <c r="A913" s="84"/>
      <c r="D913" s="80"/>
    </row>
    <row r="914">
      <c r="A914" s="84"/>
      <c r="D914" s="80"/>
    </row>
    <row r="915">
      <c r="A915" s="84"/>
      <c r="D915" s="80"/>
    </row>
    <row r="916">
      <c r="A916" s="84"/>
      <c r="D916" s="80"/>
    </row>
    <row r="917">
      <c r="A917" s="84"/>
      <c r="D917" s="80"/>
    </row>
    <row r="918">
      <c r="A918" s="84"/>
      <c r="D918" s="80"/>
    </row>
    <row r="919">
      <c r="A919" s="84"/>
      <c r="D919" s="80"/>
    </row>
    <row r="920">
      <c r="A920" s="84"/>
      <c r="D920" s="80"/>
    </row>
    <row r="921">
      <c r="A921" s="84"/>
      <c r="D921" s="80"/>
    </row>
    <row r="922">
      <c r="A922" s="84"/>
      <c r="D922" s="80"/>
    </row>
    <row r="923">
      <c r="A923" s="84"/>
      <c r="D923" s="80"/>
    </row>
    <row r="924">
      <c r="A924" s="84"/>
      <c r="D924" s="80"/>
    </row>
    <row r="925">
      <c r="A925" s="84"/>
      <c r="D925" s="80"/>
    </row>
    <row r="926">
      <c r="A926" s="84"/>
      <c r="D926" s="80"/>
    </row>
    <row r="927">
      <c r="A927" s="84"/>
      <c r="D927" s="80"/>
    </row>
    <row r="928">
      <c r="A928" s="84"/>
      <c r="D928" s="80"/>
    </row>
    <row r="929">
      <c r="A929" s="84"/>
      <c r="D929" s="80"/>
    </row>
    <row r="930">
      <c r="A930" s="84"/>
      <c r="D930" s="80"/>
    </row>
    <row r="931">
      <c r="A931" s="84"/>
      <c r="D931" s="80"/>
    </row>
    <row r="932">
      <c r="A932" s="84"/>
      <c r="D932" s="80"/>
    </row>
    <row r="933">
      <c r="A933" s="84"/>
      <c r="D933" s="80"/>
    </row>
    <row r="934">
      <c r="A934" s="84"/>
      <c r="D934" s="80"/>
    </row>
    <row r="935">
      <c r="A935" s="84"/>
      <c r="D935" s="80"/>
    </row>
    <row r="936">
      <c r="A936" s="84"/>
      <c r="D936" s="80"/>
    </row>
    <row r="937">
      <c r="A937" s="84"/>
      <c r="D937" s="80"/>
    </row>
    <row r="938">
      <c r="A938" s="84"/>
      <c r="D938" s="80"/>
    </row>
    <row r="939">
      <c r="A939" s="84"/>
      <c r="D939" s="80"/>
    </row>
    <row r="940">
      <c r="A940" s="84"/>
      <c r="D940" s="80"/>
    </row>
    <row r="941">
      <c r="A941" s="84"/>
      <c r="D941" s="80"/>
    </row>
    <row r="942">
      <c r="A942" s="84"/>
      <c r="D942" s="80"/>
    </row>
    <row r="943">
      <c r="A943" s="84"/>
      <c r="D943" s="80"/>
    </row>
    <row r="944">
      <c r="A944" s="84"/>
      <c r="D944" s="80"/>
    </row>
    <row r="945">
      <c r="A945" s="84"/>
      <c r="D945" s="80"/>
    </row>
    <row r="946">
      <c r="A946" s="84"/>
      <c r="D946" s="80"/>
    </row>
    <row r="947">
      <c r="A947" s="84"/>
      <c r="D947" s="80"/>
    </row>
    <row r="948">
      <c r="A948" s="84"/>
      <c r="D948" s="80"/>
    </row>
    <row r="949">
      <c r="A949" s="84"/>
      <c r="D949" s="80"/>
    </row>
    <row r="950">
      <c r="A950" s="84"/>
      <c r="D950" s="80"/>
    </row>
    <row r="951">
      <c r="A951" s="84"/>
      <c r="D951" s="80"/>
    </row>
    <row r="952">
      <c r="A952" s="84"/>
      <c r="D952" s="80"/>
    </row>
    <row r="953">
      <c r="A953" s="84"/>
      <c r="D953" s="80"/>
    </row>
    <row r="954">
      <c r="A954" s="84"/>
      <c r="D954" s="80"/>
    </row>
    <row r="955">
      <c r="A955" s="84"/>
      <c r="D955" s="80"/>
    </row>
    <row r="956">
      <c r="A956" s="84"/>
      <c r="D956" s="80"/>
    </row>
    <row r="957">
      <c r="A957" s="84"/>
      <c r="D957" s="80"/>
    </row>
    <row r="958">
      <c r="A958" s="84"/>
      <c r="D958" s="80"/>
    </row>
    <row r="959">
      <c r="A959" s="84"/>
      <c r="D959" s="80"/>
    </row>
    <row r="960">
      <c r="A960" s="84"/>
      <c r="D960" s="80"/>
    </row>
    <row r="961">
      <c r="A961" s="84"/>
      <c r="D961" s="80"/>
    </row>
    <row r="962">
      <c r="A962" s="84"/>
      <c r="D962" s="80"/>
    </row>
    <row r="963">
      <c r="A963" s="84"/>
      <c r="D963" s="80"/>
    </row>
    <row r="964">
      <c r="A964" s="84"/>
      <c r="D964" s="80"/>
    </row>
    <row r="965">
      <c r="A965" s="84"/>
      <c r="D965" s="80"/>
    </row>
    <row r="966">
      <c r="A966" s="84"/>
      <c r="D966" s="80"/>
    </row>
    <row r="967">
      <c r="A967" s="84"/>
      <c r="D967" s="80"/>
    </row>
    <row r="968">
      <c r="A968" s="84"/>
      <c r="D968" s="80"/>
    </row>
    <row r="969">
      <c r="A969" s="84"/>
      <c r="D969" s="80"/>
    </row>
    <row r="970">
      <c r="A970" s="84"/>
      <c r="D970" s="80"/>
    </row>
    <row r="971">
      <c r="A971" s="84"/>
      <c r="D971" s="80"/>
    </row>
    <row r="972">
      <c r="A972" s="84"/>
      <c r="D972" s="80"/>
    </row>
    <row r="973">
      <c r="A973" s="84"/>
      <c r="D973" s="80"/>
    </row>
    <row r="974">
      <c r="A974" s="84"/>
      <c r="D974" s="80"/>
    </row>
    <row r="975">
      <c r="A975" s="84"/>
      <c r="D975" s="80"/>
    </row>
    <row r="976">
      <c r="A976" s="84"/>
      <c r="D976" s="80"/>
    </row>
    <row r="977">
      <c r="A977" s="84"/>
      <c r="D977" s="80"/>
    </row>
    <row r="978">
      <c r="A978" s="84"/>
      <c r="D978" s="80"/>
    </row>
    <row r="979">
      <c r="A979" s="84"/>
      <c r="D979" s="80"/>
    </row>
    <row r="980">
      <c r="A980" s="84"/>
      <c r="D980" s="80"/>
    </row>
    <row r="981">
      <c r="A981" s="84"/>
      <c r="D981" s="80"/>
    </row>
    <row r="982">
      <c r="A982" s="84"/>
      <c r="D982" s="80"/>
    </row>
    <row r="983">
      <c r="A983" s="84"/>
      <c r="D983" s="80"/>
    </row>
    <row r="984">
      <c r="A984" s="84"/>
      <c r="D984" s="80"/>
    </row>
    <row r="985">
      <c r="A985" s="84"/>
      <c r="D985" s="80"/>
    </row>
    <row r="986">
      <c r="A986" s="84"/>
      <c r="D986" s="80"/>
    </row>
    <row r="987">
      <c r="A987" s="84"/>
      <c r="D987" s="80"/>
    </row>
    <row r="988">
      <c r="A988" s="84"/>
      <c r="D988" s="80"/>
    </row>
    <row r="989">
      <c r="A989" s="84"/>
      <c r="D989" s="80"/>
    </row>
    <row r="990">
      <c r="A990" s="84"/>
      <c r="D990" s="80"/>
    </row>
    <row r="991">
      <c r="A991" s="84"/>
      <c r="D991" s="80"/>
    </row>
    <row r="992">
      <c r="A992" s="84"/>
      <c r="D992" s="80"/>
    </row>
    <row r="993">
      <c r="A993" s="84"/>
      <c r="D993" s="80"/>
    </row>
    <row r="994">
      <c r="A994" s="84"/>
      <c r="D994" s="80"/>
    </row>
    <row r="995">
      <c r="A995" s="84"/>
      <c r="D995" s="80"/>
    </row>
    <row r="996">
      <c r="A996" s="84"/>
      <c r="D996" s="80"/>
    </row>
    <row r="997">
      <c r="A997" s="84"/>
      <c r="D997" s="80"/>
    </row>
    <row r="998">
      <c r="A998" s="84"/>
      <c r="D998" s="80"/>
    </row>
    <row r="999">
      <c r="A999" s="84"/>
      <c r="D999" s="80"/>
    </row>
    <row r="1000">
      <c r="A1000" s="84"/>
      <c r="D1000" s="80"/>
    </row>
  </sheetData>
  <mergeCells count="1">
    <mergeCell ref="A2:A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5">
        <f>sum(A3:A13)</f>
        <v>6</v>
      </c>
      <c r="B1" s="76" t="s">
        <v>1</v>
      </c>
      <c r="C1" s="77" t="s">
        <v>64</v>
      </c>
      <c r="D1" s="78" t="s">
        <v>61</v>
      </c>
    </row>
    <row r="2">
      <c r="A2" s="79" t="s">
        <v>63</v>
      </c>
      <c r="B2" s="11">
        <v>46056.0</v>
      </c>
      <c r="D2" s="80"/>
    </row>
    <row r="3">
      <c r="A3" s="81"/>
      <c r="B3" s="11">
        <v>46055.0</v>
      </c>
      <c r="C3" s="24">
        <v>0.06259595254710404</v>
      </c>
      <c r="D3" s="73">
        <v>6932.3</v>
      </c>
    </row>
    <row r="4">
      <c r="A4" s="82">
        <v>1.0</v>
      </c>
      <c r="B4" s="11">
        <v>46048.0</v>
      </c>
      <c r="C4" s="24">
        <v>-0.011860433043718088</v>
      </c>
      <c r="D4" s="73">
        <v>6939.03</v>
      </c>
    </row>
    <row r="5">
      <c r="A5" s="82">
        <v>1.0</v>
      </c>
      <c r="B5" s="11">
        <v>46041.0</v>
      </c>
      <c r="C5" s="24">
        <v>0.045792168457489124</v>
      </c>
      <c r="D5" s="73">
        <v>6915.61</v>
      </c>
    </row>
    <row r="6">
      <c r="A6" s="82">
        <v>1.0</v>
      </c>
      <c r="B6" s="11">
        <v>46034.0</v>
      </c>
      <c r="C6" s="24">
        <v>-0.016315528126551793</v>
      </c>
      <c r="D6" s="73">
        <v>6940.01</v>
      </c>
    </row>
    <row r="7">
      <c r="A7" s="82">
        <v>1.0</v>
      </c>
      <c r="B7" s="11">
        <v>46027.0</v>
      </c>
      <c r="C7" s="24">
        <v>-0.010806259209879987</v>
      </c>
      <c r="D7" s="73">
        <v>6966.28</v>
      </c>
    </row>
    <row r="8">
      <c r="A8" s="82">
        <v>1.0</v>
      </c>
      <c r="B8" s="11">
        <v>46020.0</v>
      </c>
      <c r="C8" s="24">
        <v>-0.029553966632618334</v>
      </c>
      <c r="D8" s="73">
        <v>6858.47</v>
      </c>
    </row>
    <row r="9">
      <c r="A9" s="82">
        <v>1.0</v>
      </c>
      <c r="B9" s="11">
        <v>46013.0</v>
      </c>
      <c r="C9" s="24">
        <v>-0.016541655504955788</v>
      </c>
      <c r="D9" s="73">
        <v>6929.94</v>
      </c>
    </row>
    <row r="10">
      <c r="A10" s="83"/>
      <c r="B10" s="11">
        <v>46006.0</v>
      </c>
      <c r="C10" s="24">
        <v>0.04903751580722204</v>
      </c>
      <c r="D10" s="73">
        <v>6834.5</v>
      </c>
    </row>
    <row r="11">
      <c r="A11" s="83"/>
      <c r="B11" s="11">
        <v>45999.0</v>
      </c>
      <c r="C11" s="24">
        <v>-0.025001712446057978</v>
      </c>
      <c r="D11" s="73">
        <v>6827.41</v>
      </c>
    </row>
    <row r="12">
      <c r="A12" s="83"/>
      <c r="B12" s="11">
        <v>45992.0</v>
      </c>
      <c r="C12" s="24">
        <v>0.016431107707303605</v>
      </c>
      <c r="D12" s="73">
        <v>6870.4</v>
      </c>
    </row>
    <row r="13">
      <c r="A13" s="83"/>
      <c r="B13" s="11">
        <v>45985.0</v>
      </c>
      <c r="C13" s="24">
        <v>0.0032830399552947753</v>
      </c>
      <c r="D13" s="73">
        <v>6849.09</v>
      </c>
    </row>
    <row r="14">
      <c r="A14" s="83"/>
      <c r="B14" s="11">
        <v>45978.0</v>
      </c>
      <c r="C14" s="24">
        <v>0.020312165918323632</v>
      </c>
      <c r="D14" s="73">
        <v>6602.99</v>
      </c>
    </row>
    <row r="15">
      <c r="A15" s="83"/>
      <c r="B15" s="11">
        <v>45971.0</v>
      </c>
      <c r="C15" s="24">
        <v>-0.02147988004742296</v>
      </c>
      <c r="D15" s="73">
        <v>6734.11</v>
      </c>
    </row>
    <row r="16">
      <c r="A16" s="83"/>
      <c r="B16" s="11">
        <v>45964.0</v>
      </c>
      <c r="C16" s="24">
        <v>-0.036033613445378254</v>
      </c>
      <c r="D16" s="73">
        <v>6728.8</v>
      </c>
    </row>
    <row r="17">
      <c r="A17" s="83"/>
      <c r="B17" s="11">
        <v>45957.0</v>
      </c>
      <c r="C17" s="24">
        <v>-0.014051832703652178</v>
      </c>
      <c r="D17" s="73">
        <v>6840.2</v>
      </c>
    </row>
    <row r="18">
      <c r="A18" s="83"/>
      <c r="B18" s="11">
        <v>45950.0</v>
      </c>
      <c r="C18" s="24">
        <v>0.024166723236711762</v>
      </c>
      <c r="D18" s="73">
        <v>6791.69</v>
      </c>
    </row>
    <row r="19">
      <c r="A19" s="83"/>
      <c r="B19" s="11">
        <v>45943.0</v>
      </c>
      <c r="C19" s="24">
        <v>0.057046498277841584</v>
      </c>
      <c r="D19" s="73">
        <v>6664.01</v>
      </c>
    </row>
    <row r="20">
      <c r="A20" s="83"/>
      <c r="B20" s="11">
        <v>45936.0</v>
      </c>
      <c r="C20" s="24">
        <v>0.010953935437069351</v>
      </c>
      <c r="D20" s="73">
        <v>6552.51</v>
      </c>
    </row>
    <row r="21">
      <c r="A21" s="83"/>
      <c r="B21" s="11">
        <v>45929.0</v>
      </c>
      <c r="C21" s="24">
        <v>-0.009271237602414772</v>
      </c>
      <c r="D21" s="73">
        <v>6715.79</v>
      </c>
    </row>
    <row r="22">
      <c r="A22" s="83"/>
      <c r="B22" s="11">
        <v>45922.0</v>
      </c>
      <c r="C22" s="24">
        <v>-0.01235093696763212</v>
      </c>
      <c r="D22" s="73">
        <v>6643.7</v>
      </c>
    </row>
    <row r="23">
      <c r="A23" s="83"/>
      <c r="B23" s="11">
        <v>45915.0</v>
      </c>
      <c r="C23" s="24">
        <v>-0.009978917779339569</v>
      </c>
      <c r="D23" s="73">
        <v>6664.36</v>
      </c>
    </row>
    <row r="24">
      <c r="A24" s="83"/>
      <c r="B24" s="11">
        <v>45908.0</v>
      </c>
      <c r="C24" s="24">
        <v>-0.015156758253166314</v>
      </c>
      <c r="D24" s="73">
        <v>6584.29</v>
      </c>
    </row>
    <row r="25">
      <c r="A25" s="83"/>
      <c r="B25" s="11">
        <v>45901.0</v>
      </c>
      <c r="C25" s="24">
        <v>-0.006668499931252625</v>
      </c>
      <c r="D25" s="73">
        <v>6481.5</v>
      </c>
    </row>
    <row r="26">
      <c r="A26" s="83"/>
      <c r="B26" s="11">
        <v>45894.0</v>
      </c>
      <c r="C26" s="24">
        <v>-0.0049935016074970084</v>
      </c>
      <c r="D26" s="73">
        <v>6460.26</v>
      </c>
    </row>
    <row r="27">
      <c r="A27" s="83"/>
      <c r="B27" s="11">
        <v>45887.0</v>
      </c>
      <c r="C27" s="24">
        <v>0.03570669500531354</v>
      </c>
      <c r="D27" s="73">
        <v>6466.91</v>
      </c>
    </row>
    <row r="28">
      <c r="A28" s="83"/>
      <c r="B28" s="11">
        <v>45880.0</v>
      </c>
      <c r="C28" s="24">
        <v>0.04254376246399305</v>
      </c>
      <c r="D28" s="73">
        <v>6449.8</v>
      </c>
    </row>
    <row r="29">
      <c r="A29" s="83"/>
      <c r="B29" s="11">
        <v>45873.0</v>
      </c>
      <c r="C29" s="24">
        <v>-0.029044750430292643</v>
      </c>
      <c r="D29" s="73">
        <v>6389.45</v>
      </c>
    </row>
    <row r="30">
      <c r="A30" s="83"/>
      <c r="B30" s="11">
        <v>45866.0</v>
      </c>
      <c r="C30" s="24">
        <v>0.0015082956259426794</v>
      </c>
      <c r="D30" s="73">
        <v>6238.01</v>
      </c>
    </row>
    <row r="31">
      <c r="A31" s="83"/>
      <c r="B31" s="11">
        <v>45859.0</v>
      </c>
      <c r="C31" s="24">
        <v>0.05894432613325229</v>
      </c>
      <c r="D31" s="73">
        <v>6388.64</v>
      </c>
    </row>
    <row r="32">
      <c r="A32" s="83"/>
      <c r="B32" s="11">
        <v>45852.0</v>
      </c>
      <c r="C32" s="24">
        <v>-8.359297818983924E-4</v>
      </c>
      <c r="D32" s="73">
        <v>6296.79</v>
      </c>
    </row>
    <row r="33">
      <c r="A33" s="83"/>
      <c r="B33" s="11">
        <v>45845.0</v>
      </c>
      <c r="C33" s="24">
        <v>0.03305071439786467</v>
      </c>
      <c r="D33" s="73">
        <v>6259.75</v>
      </c>
    </row>
    <row r="34">
      <c r="A34" s="83"/>
      <c r="B34" s="11">
        <v>45838.0</v>
      </c>
      <c r="C34" s="24">
        <v>0.015303682448589262</v>
      </c>
      <c r="D34" s="73">
        <v>6279.35</v>
      </c>
    </row>
    <row r="35">
      <c r="A35" s="83"/>
      <c r="B35" s="11">
        <v>45831.0</v>
      </c>
      <c r="C35" s="24">
        <v>-0.01360169824671753</v>
      </c>
      <c r="D35" s="73">
        <v>6173.07</v>
      </c>
    </row>
    <row r="36">
      <c r="A36" s="83"/>
      <c r="B36" s="11">
        <v>45824.0</v>
      </c>
      <c r="C36" s="24">
        <v>0.017357222844344822</v>
      </c>
      <c r="D36" s="73">
        <v>5967.84</v>
      </c>
    </row>
    <row r="37">
      <c r="A37" s="83"/>
      <c r="B37" s="11">
        <v>45817.0</v>
      </c>
      <c r="C37" s="24">
        <v>-0.01083946514755918</v>
      </c>
      <c r="D37" s="73">
        <v>5976.97</v>
      </c>
    </row>
    <row r="38">
      <c r="A38" s="83"/>
      <c r="B38" s="11">
        <v>45810.0</v>
      </c>
      <c r="C38" s="24">
        <v>0.016323576712769405</v>
      </c>
      <c r="D38" s="73">
        <v>6000.36</v>
      </c>
    </row>
    <row r="39">
      <c r="A39" s="83"/>
      <c r="B39" s="11">
        <v>45803.0</v>
      </c>
      <c r="C39" s="24">
        <v>-0.020015760441292385</v>
      </c>
      <c r="D39" s="73">
        <v>5911.69</v>
      </c>
    </row>
    <row r="40">
      <c r="A40" s="83"/>
      <c r="B40" s="11">
        <v>45796.0</v>
      </c>
      <c r="C40" s="24">
        <v>0.011800350821240757</v>
      </c>
      <c r="D40" s="73">
        <v>5802.82</v>
      </c>
    </row>
    <row r="41">
      <c r="A41" s="83"/>
      <c r="B41" s="11">
        <v>45789.0</v>
      </c>
      <c r="C41" s="24">
        <v>-0.024727838258164825</v>
      </c>
      <c r="D41" s="73">
        <v>5958.38</v>
      </c>
    </row>
    <row r="42">
      <c r="A42" s="83"/>
      <c r="B42" s="11">
        <v>45782.0</v>
      </c>
      <c r="C42" s="24">
        <v>0.002807236431690452</v>
      </c>
      <c r="D42" s="73">
        <v>5659.91</v>
      </c>
    </row>
    <row r="43">
      <c r="A43" s="83"/>
      <c r="B43" s="11">
        <v>45775.0</v>
      </c>
      <c r="C43" s="24">
        <v>-0.06625891946992857</v>
      </c>
      <c r="D43" s="73">
        <v>5686.67</v>
      </c>
    </row>
    <row r="44">
      <c r="A44" s="83"/>
      <c r="B44" s="11">
        <v>45768.0</v>
      </c>
      <c r="C44" s="24">
        <v>-0.011017498379779611</v>
      </c>
      <c r="D44" s="73">
        <v>5525.21</v>
      </c>
    </row>
    <row r="45">
      <c r="A45" s="83"/>
      <c r="B45" s="11">
        <v>45761.0</v>
      </c>
      <c r="C45" s="24">
        <v>-0.014826901248581215</v>
      </c>
      <c r="D45" s="73">
        <v>5282.7</v>
      </c>
    </row>
    <row r="46">
      <c r="A46" s="83"/>
      <c r="B46" s="11">
        <v>45754.0</v>
      </c>
      <c r="C46" s="24">
        <v>-0.01783723522853964</v>
      </c>
      <c r="D46" s="73">
        <v>5363.36</v>
      </c>
    </row>
    <row r="47">
      <c r="A47" s="83"/>
      <c r="B47" s="11">
        <v>45747.0</v>
      </c>
      <c r="C47" s="24">
        <v>0.02624240257418675</v>
      </c>
      <c r="D47" s="73">
        <v>5074.08</v>
      </c>
    </row>
    <row r="48">
      <c r="A48" s="83"/>
      <c r="B48" s="11">
        <v>45740.0</v>
      </c>
      <c r="C48" s="24">
        <v>-0.02113809757121865</v>
      </c>
      <c r="D48" s="73">
        <v>5580.94</v>
      </c>
    </row>
    <row r="49">
      <c r="A49" s="83"/>
      <c r="B49" s="11">
        <v>45733.0</v>
      </c>
      <c r="C49" s="24">
        <v>-0.029349819960595158</v>
      </c>
      <c r="D49" s="73">
        <v>5667.56</v>
      </c>
    </row>
    <row r="50">
      <c r="A50" s="83"/>
      <c r="B50" s="11">
        <v>45726.0</v>
      </c>
      <c r="C50" s="24">
        <v>0.006289738155465852</v>
      </c>
      <c r="D50" s="73">
        <v>5638.94</v>
      </c>
    </row>
    <row r="51">
      <c r="A51" s="83"/>
      <c r="B51" s="11">
        <v>45719.0</v>
      </c>
      <c r="C51" s="24">
        <v>-1.3671474468512912E-4</v>
      </c>
      <c r="D51" s="73">
        <v>5770.2</v>
      </c>
    </row>
    <row r="52">
      <c r="A52" s="83"/>
      <c r="B52" s="11">
        <v>45712.0</v>
      </c>
      <c r="C52" s="24">
        <v>0.070466852041563</v>
      </c>
      <c r="D52" s="73">
        <v>5954.5</v>
      </c>
    </row>
    <row r="53">
      <c r="A53" s="83"/>
      <c r="B53" s="11">
        <v>45705.0</v>
      </c>
      <c r="C53" s="24">
        <v>-0.00820088540532693</v>
      </c>
      <c r="D53" s="73">
        <v>6013.13</v>
      </c>
    </row>
    <row r="54">
      <c r="A54" s="83"/>
      <c r="B54" s="11">
        <v>45698.0</v>
      </c>
      <c r="D54" s="73">
        <v>6114.63</v>
      </c>
    </row>
    <row r="55">
      <c r="A55" s="83"/>
      <c r="D55" s="80"/>
    </row>
    <row r="56">
      <c r="A56" s="83"/>
      <c r="D56" s="80"/>
    </row>
    <row r="57">
      <c r="A57" s="83"/>
      <c r="D57" s="80"/>
    </row>
    <row r="58">
      <c r="A58" s="83"/>
      <c r="D58" s="80"/>
    </row>
    <row r="59">
      <c r="A59" s="83"/>
      <c r="D59" s="80"/>
    </row>
    <row r="60">
      <c r="A60" s="83"/>
      <c r="D60" s="80"/>
    </row>
    <row r="61">
      <c r="A61" s="83"/>
      <c r="D61" s="80"/>
    </row>
    <row r="62">
      <c r="A62" s="83"/>
      <c r="D62" s="80"/>
    </row>
    <row r="63">
      <c r="A63" s="83"/>
      <c r="D63" s="80"/>
    </row>
    <row r="64">
      <c r="A64" s="83"/>
      <c r="D64" s="80"/>
    </row>
    <row r="65">
      <c r="A65" s="83"/>
      <c r="D65" s="80"/>
    </row>
    <row r="66">
      <c r="A66" s="83"/>
      <c r="D66" s="80"/>
    </row>
    <row r="67">
      <c r="A67" s="83"/>
      <c r="D67" s="80"/>
    </row>
    <row r="68">
      <c r="A68" s="83"/>
      <c r="D68" s="80"/>
    </row>
    <row r="69">
      <c r="A69" s="83"/>
      <c r="D69" s="80"/>
    </row>
    <row r="70">
      <c r="A70" s="83"/>
      <c r="D70" s="80"/>
    </row>
    <row r="71">
      <c r="A71" s="83"/>
      <c r="D71" s="80"/>
    </row>
    <row r="72">
      <c r="A72" s="83"/>
      <c r="D72" s="80"/>
    </row>
    <row r="73">
      <c r="A73" s="83"/>
      <c r="D73" s="80"/>
    </row>
    <row r="74">
      <c r="A74" s="83"/>
      <c r="D74" s="80"/>
    </row>
    <row r="75">
      <c r="A75" s="83"/>
      <c r="D75" s="80"/>
    </row>
    <row r="76">
      <c r="A76" s="83"/>
      <c r="D76" s="80"/>
    </row>
    <row r="77">
      <c r="A77" s="83"/>
      <c r="D77" s="80"/>
    </row>
    <row r="78">
      <c r="A78" s="83"/>
      <c r="D78" s="80"/>
    </row>
    <row r="79">
      <c r="A79" s="83"/>
      <c r="D79" s="80"/>
    </row>
    <row r="80">
      <c r="A80" s="83"/>
      <c r="D80" s="80"/>
    </row>
    <row r="81">
      <c r="A81" s="83"/>
      <c r="D81" s="80"/>
    </row>
    <row r="82">
      <c r="A82" s="83"/>
      <c r="D82" s="80"/>
    </row>
    <row r="83">
      <c r="A83" s="83"/>
      <c r="D83" s="80"/>
    </row>
    <row r="84">
      <c r="A84" s="83"/>
      <c r="D84" s="80"/>
    </row>
    <row r="85">
      <c r="A85" s="83"/>
      <c r="D85" s="80"/>
    </row>
    <row r="86">
      <c r="A86" s="83"/>
      <c r="D86" s="80"/>
    </row>
    <row r="87">
      <c r="A87" s="83"/>
      <c r="D87" s="80"/>
    </row>
    <row r="88">
      <c r="A88" s="83"/>
      <c r="D88" s="80"/>
    </row>
    <row r="89">
      <c r="A89" s="83"/>
      <c r="D89" s="80"/>
    </row>
    <row r="90">
      <c r="A90" s="83"/>
      <c r="D90" s="80"/>
    </row>
    <row r="91">
      <c r="A91" s="83"/>
      <c r="D91" s="80"/>
    </row>
    <row r="92">
      <c r="A92" s="83"/>
      <c r="D92" s="80"/>
    </row>
    <row r="93">
      <c r="A93" s="83"/>
      <c r="D93" s="80"/>
    </row>
    <row r="94">
      <c r="A94" s="83"/>
      <c r="D94" s="80"/>
    </row>
    <row r="95">
      <c r="A95" s="83"/>
      <c r="D95" s="80"/>
    </row>
    <row r="96">
      <c r="A96" s="83"/>
      <c r="D96" s="80"/>
    </row>
    <row r="97">
      <c r="A97" s="83"/>
      <c r="D97" s="80"/>
    </row>
    <row r="98">
      <c r="A98" s="83"/>
      <c r="D98" s="80"/>
    </row>
    <row r="99">
      <c r="A99" s="83"/>
      <c r="D99" s="80"/>
    </row>
    <row r="100">
      <c r="A100" s="83"/>
      <c r="D100" s="80"/>
    </row>
    <row r="101">
      <c r="A101" s="83"/>
      <c r="D101" s="80"/>
    </row>
    <row r="102">
      <c r="A102" s="83"/>
      <c r="D102" s="80"/>
    </row>
    <row r="103">
      <c r="A103" s="83"/>
      <c r="D103" s="80"/>
    </row>
    <row r="104">
      <c r="A104" s="83"/>
      <c r="D104" s="80"/>
    </row>
    <row r="105">
      <c r="A105" s="83"/>
      <c r="D105" s="80"/>
    </row>
    <row r="106">
      <c r="A106" s="83"/>
      <c r="D106" s="80"/>
    </row>
    <row r="107">
      <c r="A107" s="83"/>
      <c r="D107" s="80"/>
    </row>
    <row r="108">
      <c r="A108" s="83"/>
      <c r="D108" s="80"/>
    </row>
    <row r="109">
      <c r="A109" s="83"/>
      <c r="D109" s="80"/>
    </row>
    <row r="110">
      <c r="A110" s="83"/>
      <c r="D110" s="80"/>
    </row>
    <row r="111">
      <c r="A111" s="83"/>
      <c r="D111" s="80"/>
    </row>
    <row r="112">
      <c r="A112" s="83"/>
      <c r="D112" s="80"/>
    </row>
    <row r="113">
      <c r="A113" s="83"/>
      <c r="D113" s="80"/>
    </row>
    <row r="114">
      <c r="A114" s="83"/>
      <c r="D114" s="80"/>
    </row>
    <row r="115">
      <c r="A115" s="83"/>
      <c r="D115" s="80"/>
    </row>
    <row r="116">
      <c r="A116" s="83"/>
      <c r="D116" s="80"/>
    </row>
    <row r="117">
      <c r="A117" s="83"/>
      <c r="D117" s="80"/>
    </row>
    <row r="118">
      <c r="A118" s="83"/>
      <c r="D118" s="80"/>
    </row>
    <row r="119">
      <c r="A119" s="83"/>
      <c r="D119" s="80"/>
    </row>
    <row r="120">
      <c r="A120" s="83"/>
      <c r="D120" s="80"/>
    </row>
    <row r="121">
      <c r="A121" s="83"/>
      <c r="D121" s="80"/>
    </row>
    <row r="122">
      <c r="A122" s="83"/>
      <c r="D122" s="80"/>
    </row>
    <row r="123">
      <c r="A123" s="83"/>
      <c r="D123" s="80"/>
    </row>
    <row r="124">
      <c r="A124" s="83"/>
      <c r="D124" s="80"/>
    </row>
    <row r="125">
      <c r="A125" s="83"/>
      <c r="D125" s="80"/>
    </row>
    <row r="126">
      <c r="A126" s="83"/>
      <c r="D126" s="80"/>
    </row>
    <row r="127">
      <c r="A127" s="83"/>
      <c r="D127" s="80"/>
    </row>
    <row r="128">
      <c r="A128" s="83"/>
      <c r="D128" s="80"/>
    </row>
    <row r="129">
      <c r="A129" s="83"/>
      <c r="D129" s="80"/>
    </row>
    <row r="130">
      <c r="A130" s="83"/>
      <c r="D130" s="80"/>
    </row>
    <row r="131">
      <c r="A131" s="83"/>
      <c r="D131" s="80"/>
    </row>
    <row r="132">
      <c r="A132" s="83"/>
      <c r="D132" s="80"/>
    </row>
    <row r="133">
      <c r="A133" s="83"/>
      <c r="D133" s="80"/>
    </row>
    <row r="134">
      <c r="A134" s="83"/>
      <c r="D134" s="80"/>
    </row>
    <row r="135">
      <c r="A135" s="83"/>
      <c r="D135" s="80"/>
    </row>
    <row r="136">
      <c r="A136" s="83"/>
      <c r="D136" s="80"/>
    </row>
    <row r="137">
      <c r="A137" s="83"/>
      <c r="D137" s="80"/>
    </row>
    <row r="138">
      <c r="A138" s="83"/>
      <c r="D138" s="80"/>
    </row>
    <row r="139">
      <c r="A139" s="83"/>
      <c r="D139" s="80"/>
    </row>
    <row r="140">
      <c r="A140" s="83"/>
      <c r="D140" s="80"/>
    </row>
    <row r="141">
      <c r="A141" s="83"/>
      <c r="D141" s="80"/>
    </row>
    <row r="142">
      <c r="A142" s="83"/>
      <c r="D142" s="80"/>
    </row>
    <row r="143">
      <c r="A143" s="83"/>
      <c r="D143" s="80"/>
    </row>
    <row r="144">
      <c r="A144" s="83"/>
      <c r="D144" s="80"/>
    </row>
    <row r="145">
      <c r="A145" s="83"/>
      <c r="D145" s="80"/>
    </row>
    <row r="146">
      <c r="A146" s="83"/>
      <c r="D146" s="80"/>
    </row>
    <row r="147">
      <c r="A147" s="83"/>
      <c r="D147" s="80"/>
    </row>
    <row r="148">
      <c r="A148" s="83"/>
      <c r="D148" s="80"/>
    </row>
    <row r="149">
      <c r="A149" s="83"/>
      <c r="D149" s="80"/>
    </row>
    <row r="150">
      <c r="A150" s="83"/>
      <c r="D150" s="80"/>
    </row>
    <row r="151">
      <c r="A151" s="83"/>
      <c r="D151" s="80"/>
    </row>
    <row r="152">
      <c r="A152" s="83"/>
      <c r="D152" s="80"/>
    </row>
    <row r="153">
      <c r="A153" s="83"/>
      <c r="D153" s="80"/>
    </row>
    <row r="154">
      <c r="A154" s="83"/>
      <c r="D154" s="80"/>
    </row>
    <row r="155">
      <c r="A155" s="83"/>
      <c r="D155" s="80"/>
    </row>
    <row r="156">
      <c r="A156" s="83"/>
      <c r="D156" s="80"/>
    </row>
    <row r="157">
      <c r="A157" s="83"/>
      <c r="D157" s="80"/>
    </row>
    <row r="158">
      <c r="A158" s="83"/>
      <c r="D158" s="80"/>
    </row>
    <row r="159">
      <c r="A159" s="83"/>
      <c r="D159" s="80"/>
    </row>
    <row r="160">
      <c r="A160" s="83"/>
      <c r="D160" s="80"/>
    </row>
    <row r="161">
      <c r="A161" s="83"/>
      <c r="D161" s="80"/>
    </row>
    <row r="162">
      <c r="A162" s="83"/>
      <c r="D162" s="80"/>
    </row>
    <row r="163">
      <c r="A163" s="83"/>
      <c r="D163" s="80"/>
    </row>
    <row r="164">
      <c r="A164" s="83"/>
      <c r="D164" s="80"/>
    </row>
    <row r="165">
      <c r="A165" s="83"/>
      <c r="D165" s="80"/>
    </row>
    <row r="166">
      <c r="A166" s="83"/>
      <c r="D166" s="80"/>
    </row>
    <row r="167">
      <c r="A167" s="83"/>
      <c r="D167" s="80"/>
    </row>
    <row r="168">
      <c r="A168" s="83"/>
      <c r="D168" s="80"/>
    </row>
    <row r="169">
      <c r="A169" s="83"/>
      <c r="D169" s="80"/>
    </row>
    <row r="170">
      <c r="A170" s="83"/>
      <c r="D170" s="80"/>
    </row>
    <row r="171">
      <c r="A171" s="83"/>
      <c r="D171" s="80"/>
    </row>
    <row r="172">
      <c r="A172" s="83"/>
      <c r="D172" s="80"/>
    </row>
    <row r="173">
      <c r="A173" s="83"/>
      <c r="D173" s="80"/>
    </row>
    <row r="174">
      <c r="A174" s="83"/>
      <c r="D174" s="80"/>
    </row>
    <row r="175">
      <c r="A175" s="83"/>
      <c r="D175" s="80"/>
    </row>
    <row r="176">
      <c r="A176" s="83"/>
      <c r="D176" s="80"/>
    </row>
    <row r="177">
      <c r="A177" s="83"/>
      <c r="D177" s="80"/>
    </row>
    <row r="178">
      <c r="A178" s="83"/>
      <c r="D178" s="80"/>
    </row>
    <row r="179">
      <c r="A179" s="83"/>
      <c r="D179" s="80"/>
    </row>
    <row r="180">
      <c r="A180" s="83"/>
      <c r="D180" s="80"/>
    </row>
    <row r="181">
      <c r="A181" s="83"/>
      <c r="D181" s="80"/>
    </row>
    <row r="182">
      <c r="A182" s="83"/>
      <c r="D182" s="80"/>
    </row>
    <row r="183">
      <c r="A183" s="83"/>
      <c r="D183" s="80"/>
    </row>
    <row r="184">
      <c r="A184" s="83"/>
      <c r="D184" s="80"/>
    </row>
    <row r="185">
      <c r="A185" s="83"/>
      <c r="D185" s="80"/>
    </row>
    <row r="186">
      <c r="A186" s="83"/>
      <c r="D186" s="80"/>
    </row>
    <row r="187">
      <c r="A187" s="83"/>
      <c r="D187" s="80"/>
    </row>
    <row r="188">
      <c r="A188" s="83"/>
      <c r="D188" s="80"/>
    </row>
    <row r="189">
      <c r="A189" s="83"/>
      <c r="D189" s="80"/>
    </row>
    <row r="190">
      <c r="A190" s="83"/>
      <c r="D190" s="80"/>
    </row>
    <row r="191">
      <c r="A191" s="83"/>
      <c r="D191" s="80"/>
    </row>
    <row r="192">
      <c r="A192" s="83"/>
      <c r="D192" s="80"/>
    </row>
    <row r="193">
      <c r="A193" s="83"/>
      <c r="D193" s="80"/>
    </row>
    <row r="194">
      <c r="A194" s="83"/>
      <c r="D194" s="80"/>
    </row>
    <row r="195">
      <c r="A195" s="83"/>
      <c r="D195" s="80"/>
    </row>
    <row r="196">
      <c r="A196" s="83"/>
      <c r="D196" s="80"/>
    </row>
    <row r="197">
      <c r="A197" s="83"/>
      <c r="D197" s="80"/>
    </row>
    <row r="198">
      <c r="A198" s="83"/>
      <c r="D198" s="80"/>
    </row>
    <row r="199">
      <c r="A199" s="83"/>
      <c r="D199" s="80"/>
    </row>
    <row r="200">
      <c r="A200" s="83"/>
      <c r="D200" s="80"/>
    </row>
    <row r="201">
      <c r="A201" s="84"/>
      <c r="D201" s="80"/>
    </row>
    <row r="202">
      <c r="A202" s="84"/>
      <c r="D202" s="80"/>
    </row>
    <row r="203">
      <c r="A203" s="84"/>
      <c r="D203" s="80"/>
    </row>
    <row r="204">
      <c r="A204" s="84"/>
      <c r="D204" s="80"/>
    </row>
    <row r="205">
      <c r="A205" s="84"/>
      <c r="D205" s="80"/>
    </row>
    <row r="206">
      <c r="A206" s="84"/>
      <c r="D206" s="80"/>
    </row>
    <row r="207">
      <c r="A207" s="84"/>
      <c r="D207" s="80"/>
    </row>
    <row r="208">
      <c r="A208" s="84"/>
      <c r="D208" s="80"/>
    </row>
    <row r="209">
      <c r="A209" s="84"/>
      <c r="D209" s="80"/>
    </row>
    <row r="210">
      <c r="A210" s="84"/>
      <c r="D210" s="80"/>
    </row>
    <row r="211">
      <c r="A211" s="84"/>
      <c r="D211" s="80"/>
    </row>
    <row r="212">
      <c r="A212" s="84"/>
      <c r="D212" s="80"/>
    </row>
    <row r="213">
      <c r="A213" s="84"/>
      <c r="D213" s="80"/>
    </row>
    <row r="214">
      <c r="A214" s="84"/>
      <c r="D214" s="80"/>
    </row>
    <row r="215">
      <c r="A215" s="84"/>
      <c r="D215" s="80"/>
    </row>
    <row r="216">
      <c r="A216" s="84"/>
      <c r="D216" s="80"/>
    </row>
    <row r="217">
      <c r="A217" s="84"/>
      <c r="D217" s="80"/>
    </row>
    <row r="218">
      <c r="A218" s="84"/>
      <c r="D218" s="80"/>
    </row>
    <row r="219">
      <c r="A219" s="84"/>
      <c r="D219" s="80"/>
    </row>
    <row r="220">
      <c r="A220" s="84"/>
      <c r="D220" s="80"/>
    </row>
    <row r="221">
      <c r="A221" s="84"/>
      <c r="D221" s="80"/>
    </row>
    <row r="222">
      <c r="A222" s="84"/>
      <c r="D222" s="80"/>
    </row>
    <row r="223">
      <c r="A223" s="84"/>
      <c r="D223" s="80"/>
    </row>
    <row r="224">
      <c r="A224" s="84"/>
      <c r="D224" s="80"/>
    </row>
    <row r="225">
      <c r="A225" s="84"/>
      <c r="D225" s="80"/>
    </row>
    <row r="226">
      <c r="A226" s="84"/>
      <c r="D226" s="80"/>
    </row>
    <row r="227">
      <c r="A227" s="84"/>
      <c r="D227" s="80"/>
    </row>
    <row r="228">
      <c r="A228" s="84"/>
      <c r="D228" s="80"/>
    </row>
    <row r="229">
      <c r="A229" s="84"/>
      <c r="D229" s="80"/>
    </row>
    <row r="230">
      <c r="A230" s="84"/>
      <c r="D230" s="80"/>
    </row>
    <row r="231">
      <c r="A231" s="84"/>
      <c r="D231" s="80"/>
    </row>
    <row r="232">
      <c r="A232" s="84"/>
      <c r="D232" s="80"/>
    </row>
    <row r="233">
      <c r="A233" s="84"/>
      <c r="D233" s="80"/>
    </row>
    <row r="234">
      <c r="A234" s="84"/>
      <c r="D234" s="80"/>
    </row>
    <row r="235">
      <c r="A235" s="84"/>
      <c r="D235" s="80"/>
    </row>
    <row r="236">
      <c r="A236" s="84"/>
      <c r="D236" s="80"/>
    </row>
    <row r="237">
      <c r="A237" s="84"/>
      <c r="D237" s="80"/>
    </row>
    <row r="238">
      <c r="A238" s="84"/>
      <c r="D238" s="80"/>
    </row>
    <row r="239">
      <c r="A239" s="84"/>
      <c r="D239" s="80"/>
    </row>
    <row r="240">
      <c r="A240" s="84"/>
      <c r="D240" s="80"/>
    </row>
    <row r="241">
      <c r="A241" s="84"/>
      <c r="D241" s="80"/>
    </row>
    <row r="242">
      <c r="A242" s="84"/>
      <c r="D242" s="80"/>
    </row>
    <row r="243">
      <c r="A243" s="84"/>
      <c r="D243" s="80"/>
    </row>
    <row r="244">
      <c r="A244" s="84"/>
      <c r="D244" s="80"/>
    </row>
    <row r="245">
      <c r="A245" s="84"/>
      <c r="D245" s="80"/>
    </row>
    <row r="246">
      <c r="A246" s="84"/>
      <c r="D246" s="80"/>
    </row>
    <row r="247">
      <c r="A247" s="84"/>
      <c r="D247" s="80"/>
    </row>
    <row r="248">
      <c r="A248" s="84"/>
      <c r="D248" s="80"/>
    </row>
    <row r="249">
      <c r="A249" s="84"/>
      <c r="D249" s="80"/>
    </row>
    <row r="250">
      <c r="A250" s="84"/>
      <c r="D250" s="80"/>
    </row>
    <row r="251">
      <c r="A251" s="84"/>
      <c r="D251" s="80"/>
    </row>
    <row r="252">
      <c r="A252" s="84"/>
      <c r="D252" s="80"/>
    </row>
    <row r="253">
      <c r="A253" s="84"/>
      <c r="D253" s="80"/>
    </row>
    <row r="254">
      <c r="A254" s="84"/>
      <c r="D254" s="80"/>
    </row>
    <row r="255">
      <c r="A255" s="84"/>
      <c r="D255" s="80"/>
    </row>
    <row r="256">
      <c r="A256" s="84"/>
      <c r="D256" s="80"/>
    </row>
    <row r="257">
      <c r="A257" s="84"/>
      <c r="D257" s="80"/>
    </row>
    <row r="258">
      <c r="A258" s="84"/>
      <c r="D258" s="80"/>
    </row>
    <row r="259">
      <c r="A259" s="84"/>
      <c r="D259" s="80"/>
    </row>
    <row r="260">
      <c r="A260" s="84"/>
      <c r="D260" s="80"/>
    </row>
    <row r="261">
      <c r="A261" s="84"/>
      <c r="D261" s="80"/>
    </row>
    <row r="262">
      <c r="A262" s="84"/>
      <c r="D262" s="80"/>
    </row>
    <row r="263">
      <c r="A263" s="84"/>
      <c r="D263" s="80"/>
    </row>
    <row r="264">
      <c r="A264" s="84"/>
      <c r="D264" s="80"/>
    </row>
    <row r="265">
      <c r="A265" s="84"/>
      <c r="D265" s="80"/>
    </row>
    <row r="266">
      <c r="A266" s="84"/>
      <c r="D266" s="80"/>
    </row>
    <row r="267">
      <c r="A267" s="84"/>
      <c r="D267" s="80"/>
    </row>
    <row r="268">
      <c r="A268" s="84"/>
      <c r="D268" s="80"/>
    </row>
    <row r="269">
      <c r="A269" s="84"/>
      <c r="D269" s="80"/>
    </row>
    <row r="270">
      <c r="A270" s="84"/>
      <c r="D270" s="80"/>
    </row>
    <row r="271">
      <c r="A271" s="84"/>
      <c r="D271" s="80"/>
    </row>
    <row r="272">
      <c r="A272" s="84"/>
      <c r="D272" s="80"/>
    </row>
    <row r="273">
      <c r="A273" s="84"/>
      <c r="D273" s="80"/>
    </row>
    <row r="274">
      <c r="A274" s="84"/>
      <c r="D274" s="80"/>
    </row>
    <row r="275">
      <c r="A275" s="84"/>
      <c r="D275" s="80"/>
    </row>
    <row r="276">
      <c r="A276" s="84"/>
      <c r="D276" s="80"/>
    </row>
    <row r="277">
      <c r="A277" s="84"/>
      <c r="D277" s="80"/>
    </row>
    <row r="278">
      <c r="A278" s="84"/>
      <c r="D278" s="80"/>
    </row>
    <row r="279">
      <c r="A279" s="84"/>
      <c r="D279" s="80"/>
    </row>
    <row r="280">
      <c r="A280" s="84"/>
      <c r="D280" s="80"/>
    </row>
    <row r="281">
      <c r="A281" s="84"/>
      <c r="D281" s="80"/>
    </row>
    <row r="282">
      <c r="A282" s="84"/>
      <c r="D282" s="80"/>
    </row>
    <row r="283">
      <c r="A283" s="84"/>
      <c r="D283" s="80"/>
    </row>
    <row r="284">
      <c r="A284" s="84"/>
      <c r="D284" s="80"/>
    </row>
    <row r="285">
      <c r="A285" s="84"/>
      <c r="D285" s="80"/>
    </row>
    <row r="286">
      <c r="A286" s="84"/>
      <c r="D286" s="80"/>
    </row>
    <row r="287">
      <c r="A287" s="84"/>
      <c r="D287" s="80"/>
    </row>
    <row r="288">
      <c r="A288" s="84"/>
      <c r="D288" s="80"/>
    </row>
    <row r="289">
      <c r="A289" s="84"/>
      <c r="D289" s="80"/>
    </row>
    <row r="290">
      <c r="A290" s="84"/>
      <c r="D290" s="80"/>
    </row>
    <row r="291">
      <c r="A291" s="84"/>
      <c r="D291" s="80"/>
    </row>
    <row r="292">
      <c r="A292" s="84"/>
      <c r="D292" s="80"/>
    </row>
    <row r="293">
      <c r="A293" s="84"/>
      <c r="D293" s="80"/>
    </row>
    <row r="294">
      <c r="A294" s="84"/>
      <c r="D294" s="80"/>
    </row>
    <row r="295">
      <c r="A295" s="84"/>
      <c r="D295" s="80"/>
    </row>
    <row r="296">
      <c r="A296" s="84"/>
      <c r="D296" s="80"/>
    </row>
    <row r="297">
      <c r="A297" s="84"/>
      <c r="D297" s="80"/>
    </row>
    <row r="298">
      <c r="A298" s="84"/>
      <c r="D298" s="80"/>
    </row>
    <row r="299">
      <c r="A299" s="84"/>
      <c r="D299" s="80"/>
    </row>
    <row r="300">
      <c r="A300" s="84"/>
      <c r="D300" s="80"/>
    </row>
    <row r="301">
      <c r="A301" s="84"/>
      <c r="D301" s="80"/>
    </row>
    <row r="302">
      <c r="A302" s="84"/>
      <c r="D302" s="80"/>
    </row>
    <row r="303">
      <c r="A303" s="84"/>
      <c r="D303" s="80"/>
    </row>
    <row r="304">
      <c r="A304" s="84"/>
      <c r="D304" s="80"/>
    </row>
    <row r="305">
      <c r="A305" s="84"/>
      <c r="D305" s="80"/>
    </row>
    <row r="306">
      <c r="A306" s="84"/>
      <c r="D306" s="80"/>
    </row>
    <row r="307">
      <c r="A307" s="84"/>
      <c r="D307" s="80"/>
    </row>
    <row r="308">
      <c r="A308" s="84"/>
      <c r="D308" s="80"/>
    </row>
    <row r="309">
      <c r="A309" s="84"/>
      <c r="D309" s="80"/>
    </row>
    <row r="310">
      <c r="A310" s="84"/>
      <c r="D310" s="80"/>
    </row>
    <row r="311">
      <c r="A311" s="84"/>
      <c r="D311" s="80"/>
    </row>
    <row r="312">
      <c r="A312" s="84"/>
      <c r="D312" s="80"/>
    </row>
    <row r="313">
      <c r="A313" s="84"/>
      <c r="D313" s="80"/>
    </row>
    <row r="314">
      <c r="A314" s="84"/>
      <c r="D314" s="80"/>
    </row>
    <row r="315">
      <c r="A315" s="84"/>
      <c r="D315" s="80"/>
    </row>
    <row r="316">
      <c r="A316" s="84"/>
      <c r="D316" s="80"/>
    </row>
    <row r="317">
      <c r="A317" s="84"/>
      <c r="D317" s="80"/>
    </row>
    <row r="318">
      <c r="A318" s="84"/>
      <c r="D318" s="80"/>
    </row>
    <row r="319">
      <c r="A319" s="84"/>
      <c r="D319" s="80"/>
    </row>
    <row r="320">
      <c r="A320" s="84"/>
      <c r="D320" s="80"/>
    </row>
    <row r="321">
      <c r="A321" s="84"/>
      <c r="D321" s="80"/>
    </row>
    <row r="322">
      <c r="A322" s="84"/>
      <c r="D322" s="80"/>
    </row>
    <row r="323">
      <c r="A323" s="84"/>
      <c r="D323" s="80"/>
    </row>
    <row r="324">
      <c r="A324" s="84"/>
      <c r="D324" s="80"/>
    </row>
    <row r="325">
      <c r="A325" s="84"/>
      <c r="D325" s="80"/>
    </row>
    <row r="326">
      <c r="A326" s="84"/>
      <c r="D326" s="80"/>
    </row>
    <row r="327">
      <c r="A327" s="84"/>
      <c r="D327" s="80"/>
    </row>
    <row r="328">
      <c r="A328" s="84"/>
      <c r="D328" s="80"/>
    </row>
    <row r="329">
      <c r="A329" s="84"/>
      <c r="D329" s="80"/>
    </row>
    <row r="330">
      <c r="A330" s="84"/>
      <c r="D330" s="80"/>
    </row>
    <row r="331">
      <c r="A331" s="84"/>
      <c r="D331" s="80"/>
    </row>
    <row r="332">
      <c r="A332" s="84"/>
      <c r="D332" s="80"/>
    </row>
    <row r="333">
      <c r="A333" s="84"/>
      <c r="D333" s="80"/>
    </row>
    <row r="334">
      <c r="A334" s="84"/>
      <c r="D334" s="80"/>
    </row>
    <row r="335">
      <c r="A335" s="84"/>
      <c r="D335" s="80"/>
    </row>
    <row r="336">
      <c r="A336" s="84"/>
      <c r="D336" s="80"/>
    </row>
    <row r="337">
      <c r="A337" s="84"/>
      <c r="D337" s="80"/>
    </row>
    <row r="338">
      <c r="A338" s="84"/>
      <c r="D338" s="80"/>
    </row>
    <row r="339">
      <c r="A339" s="84"/>
      <c r="D339" s="80"/>
    </row>
    <row r="340">
      <c r="A340" s="84"/>
      <c r="D340" s="80"/>
    </row>
    <row r="341">
      <c r="A341" s="84"/>
      <c r="D341" s="80"/>
    </row>
    <row r="342">
      <c r="A342" s="84"/>
      <c r="D342" s="80"/>
    </row>
    <row r="343">
      <c r="A343" s="84"/>
      <c r="D343" s="80"/>
    </row>
    <row r="344">
      <c r="A344" s="84"/>
      <c r="D344" s="80"/>
    </row>
    <row r="345">
      <c r="A345" s="84"/>
      <c r="D345" s="80"/>
    </row>
    <row r="346">
      <c r="A346" s="84"/>
      <c r="D346" s="80"/>
    </row>
    <row r="347">
      <c r="A347" s="84"/>
      <c r="D347" s="80"/>
    </row>
    <row r="348">
      <c r="A348" s="84"/>
      <c r="D348" s="80"/>
    </row>
    <row r="349">
      <c r="A349" s="84"/>
      <c r="D349" s="80"/>
    </row>
    <row r="350">
      <c r="A350" s="84"/>
      <c r="D350" s="80"/>
    </row>
    <row r="351">
      <c r="A351" s="84"/>
      <c r="D351" s="80"/>
    </row>
    <row r="352">
      <c r="A352" s="84"/>
      <c r="D352" s="80"/>
    </row>
    <row r="353">
      <c r="A353" s="84"/>
      <c r="D353" s="80"/>
    </row>
    <row r="354">
      <c r="A354" s="84"/>
      <c r="D354" s="80"/>
    </row>
    <row r="355">
      <c r="A355" s="84"/>
      <c r="D355" s="80"/>
    </row>
    <row r="356">
      <c r="A356" s="84"/>
      <c r="D356" s="80"/>
    </row>
    <row r="357">
      <c r="A357" s="84"/>
      <c r="D357" s="80"/>
    </row>
    <row r="358">
      <c r="A358" s="84"/>
      <c r="D358" s="80"/>
    </row>
    <row r="359">
      <c r="A359" s="84"/>
      <c r="D359" s="80"/>
    </row>
    <row r="360">
      <c r="A360" s="84"/>
      <c r="D360" s="80"/>
    </row>
    <row r="361">
      <c r="A361" s="84"/>
      <c r="D361" s="80"/>
    </row>
    <row r="362">
      <c r="A362" s="84"/>
      <c r="D362" s="80"/>
    </row>
    <row r="363">
      <c r="A363" s="84"/>
      <c r="D363" s="80"/>
    </row>
    <row r="364">
      <c r="A364" s="84"/>
      <c r="D364" s="80"/>
    </row>
    <row r="365">
      <c r="A365" s="84"/>
      <c r="D365" s="80"/>
    </row>
    <row r="366">
      <c r="A366" s="84"/>
      <c r="D366" s="80"/>
    </row>
    <row r="367">
      <c r="A367" s="84"/>
      <c r="D367" s="80"/>
    </row>
    <row r="368">
      <c r="A368" s="84"/>
      <c r="D368" s="80"/>
    </row>
    <row r="369">
      <c r="A369" s="84"/>
      <c r="D369" s="80"/>
    </row>
    <row r="370">
      <c r="A370" s="84"/>
      <c r="D370" s="80"/>
    </row>
    <row r="371">
      <c r="A371" s="84"/>
      <c r="D371" s="80"/>
    </row>
    <row r="372">
      <c r="A372" s="84"/>
      <c r="D372" s="80"/>
    </row>
    <row r="373">
      <c r="A373" s="84"/>
      <c r="D373" s="80"/>
    </row>
    <row r="374">
      <c r="A374" s="84"/>
      <c r="D374" s="80"/>
    </row>
    <row r="375">
      <c r="A375" s="84"/>
      <c r="D375" s="80"/>
    </row>
    <row r="376">
      <c r="A376" s="84"/>
      <c r="D376" s="80"/>
    </row>
    <row r="377">
      <c r="A377" s="84"/>
      <c r="D377" s="80"/>
    </row>
    <row r="378">
      <c r="A378" s="84"/>
      <c r="D378" s="80"/>
    </row>
    <row r="379">
      <c r="A379" s="84"/>
      <c r="D379" s="80"/>
    </row>
    <row r="380">
      <c r="A380" s="84"/>
      <c r="D380" s="80"/>
    </row>
    <row r="381">
      <c r="A381" s="84"/>
      <c r="D381" s="80"/>
    </row>
    <row r="382">
      <c r="A382" s="84"/>
      <c r="D382" s="80"/>
    </row>
    <row r="383">
      <c r="A383" s="84"/>
      <c r="D383" s="80"/>
    </row>
    <row r="384">
      <c r="A384" s="84"/>
      <c r="D384" s="80"/>
    </row>
    <row r="385">
      <c r="A385" s="84"/>
      <c r="D385" s="80"/>
    </row>
    <row r="386">
      <c r="A386" s="84"/>
      <c r="D386" s="80"/>
    </row>
    <row r="387">
      <c r="A387" s="84"/>
      <c r="D387" s="80"/>
    </row>
    <row r="388">
      <c r="A388" s="84"/>
      <c r="D388" s="80"/>
    </row>
    <row r="389">
      <c r="A389" s="84"/>
      <c r="D389" s="80"/>
    </row>
    <row r="390">
      <c r="A390" s="84"/>
      <c r="D390" s="80"/>
    </row>
    <row r="391">
      <c r="A391" s="84"/>
      <c r="D391" s="80"/>
    </row>
    <row r="392">
      <c r="A392" s="84"/>
      <c r="D392" s="80"/>
    </row>
    <row r="393">
      <c r="A393" s="84"/>
      <c r="D393" s="80"/>
    </row>
    <row r="394">
      <c r="A394" s="84"/>
      <c r="D394" s="80"/>
    </row>
    <row r="395">
      <c r="A395" s="84"/>
      <c r="D395" s="80"/>
    </row>
    <row r="396">
      <c r="A396" s="84"/>
      <c r="D396" s="80"/>
    </row>
    <row r="397">
      <c r="A397" s="84"/>
      <c r="D397" s="80"/>
    </row>
    <row r="398">
      <c r="A398" s="84"/>
      <c r="D398" s="80"/>
    </row>
    <row r="399">
      <c r="A399" s="84"/>
      <c r="D399" s="80"/>
    </row>
    <row r="400">
      <c r="A400" s="84"/>
      <c r="D400" s="80"/>
    </row>
    <row r="401">
      <c r="A401" s="84"/>
      <c r="D401" s="80"/>
    </row>
    <row r="402">
      <c r="A402" s="84"/>
      <c r="D402" s="80"/>
    </row>
    <row r="403">
      <c r="A403" s="84"/>
      <c r="D403" s="80"/>
    </row>
    <row r="404">
      <c r="A404" s="84"/>
      <c r="D404" s="80"/>
    </row>
    <row r="405">
      <c r="A405" s="84"/>
      <c r="D405" s="80"/>
    </row>
    <row r="406">
      <c r="A406" s="84"/>
      <c r="D406" s="80"/>
    </row>
    <row r="407">
      <c r="A407" s="84"/>
      <c r="D407" s="80"/>
    </row>
    <row r="408">
      <c r="A408" s="84"/>
      <c r="D408" s="80"/>
    </row>
    <row r="409">
      <c r="A409" s="84"/>
      <c r="D409" s="80"/>
    </row>
    <row r="410">
      <c r="A410" s="84"/>
      <c r="D410" s="80"/>
    </row>
    <row r="411">
      <c r="A411" s="84"/>
      <c r="D411" s="80"/>
    </row>
    <row r="412">
      <c r="A412" s="84"/>
      <c r="D412" s="80"/>
    </row>
    <row r="413">
      <c r="A413" s="84"/>
      <c r="D413" s="80"/>
    </row>
    <row r="414">
      <c r="A414" s="84"/>
      <c r="D414" s="80"/>
    </row>
    <row r="415">
      <c r="A415" s="84"/>
      <c r="D415" s="80"/>
    </row>
    <row r="416">
      <c r="A416" s="84"/>
      <c r="D416" s="80"/>
    </row>
    <row r="417">
      <c r="A417" s="84"/>
      <c r="D417" s="80"/>
    </row>
    <row r="418">
      <c r="A418" s="84"/>
      <c r="D418" s="80"/>
    </row>
    <row r="419">
      <c r="A419" s="84"/>
      <c r="D419" s="80"/>
    </row>
    <row r="420">
      <c r="A420" s="84"/>
      <c r="D420" s="80"/>
    </row>
    <row r="421">
      <c r="A421" s="84"/>
      <c r="D421" s="80"/>
    </row>
    <row r="422">
      <c r="A422" s="84"/>
      <c r="D422" s="80"/>
    </row>
    <row r="423">
      <c r="A423" s="84"/>
      <c r="D423" s="80"/>
    </row>
    <row r="424">
      <c r="A424" s="84"/>
      <c r="D424" s="80"/>
    </row>
    <row r="425">
      <c r="A425" s="84"/>
      <c r="D425" s="80"/>
    </row>
    <row r="426">
      <c r="A426" s="84"/>
      <c r="D426" s="80"/>
    </row>
    <row r="427">
      <c r="A427" s="84"/>
      <c r="D427" s="80"/>
    </row>
    <row r="428">
      <c r="A428" s="84"/>
      <c r="D428" s="80"/>
    </row>
    <row r="429">
      <c r="A429" s="84"/>
      <c r="D429" s="80"/>
    </row>
    <row r="430">
      <c r="A430" s="84"/>
      <c r="D430" s="80"/>
    </row>
    <row r="431">
      <c r="A431" s="84"/>
      <c r="D431" s="80"/>
    </row>
    <row r="432">
      <c r="A432" s="84"/>
      <c r="D432" s="80"/>
    </row>
    <row r="433">
      <c r="A433" s="84"/>
      <c r="D433" s="80"/>
    </row>
    <row r="434">
      <c r="A434" s="84"/>
      <c r="D434" s="80"/>
    </row>
    <row r="435">
      <c r="A435" s="84"/>
      <c r="D435" s="80"/>
    </row>
    <row r="436">
      <c r="A436" s="84"/>
      <c r="D436" s="80"/>
    </row>
    <row r="437">
      <c r="A437" s="84"/>
      <c r="D437" s="80"/>
    </row>
    <row r="438">
      <c r="A438" s="84"/>
      <c r="D438" s="80"/>
    </row>
    <row r="439">
      <c r="A439" s="84"/>
      <c r="D439" s="80"/>
    </row>
    <row r="440">
      <c r="A440" s="84"/>
      <c r="D440" s="80"/>
    </row>
    <row r="441">
      <c r="A441" s="84"/>
      <c r="D441" s="80"/>
    </row>
    <row r="442">
      <c r="A442" s="84"/>
      <c r="D442" s="80"/>
    </row>
    <row r="443">
      <c r="A443" s="84"/>
      <c r="D443" s="80"/>
    </row>
    <row r="444">
      <c r="A444" s="84"/>
      <c r="D444" s="80"/>
    </row>
    <row r="445">
      <c r="A445" s="84"/>
      <c r="D445" s="80"/>
    </row>
    <row r="446">
      <c r="A446" s="84"/>
      <c r="D446" s="80"/>
    </row>
    <row r="447">
      <c r="A447" s="84"/>
      <c r="D447" s="80"/>
    </row>
    <row r="448">
      <c r="A448" s="84"/>
      <c r="D448" s="80"/>
    </row>
    <row r="449">
      <c r="A449" s="84"/>
      <c r="D449" s="80"/>
    </row>
    <row r="450">
      <c r="A450" s="84"/>
      <c r="D450" s="80"/>
    </row>
    <row r="451">
      <c r="A451" s="84"/>
      <c r="D451" s="80"/>
    </row>
    <row r="452">
      <c r="A452" s="84"/>
      <c r="D452" s="80"/>
    </row>
    <row r="453">
      <c r="A453" s="84"/>
      <c r="D453" s="80"/>
    </row>
    <row r="454">
      <c r="A454" s="84"/>
      <c r="D454" s="80"/>
    </row>
    <row r="455">
      <c r="A455" s="84"/>
      <c r="D455" s="80"/>
    </row>
    <row r="456">
      <c r="A456" s="84"/>
      <c r="D456" s="80"/>
    </row>
    <row r="457">
      <c r="A457" s="84"/>
      <c r="D457" s="80"/>
    </row>
    <row r="458">
      <c r="A458" s="84"/>
      <c r="D458" s="80"/>
    </row>
    <row r="459">
      <c r="A459" s="84"/>
      <c r="D459" s="80"/>
    </row>
    <row r="460">
      <c r="A460" s="84"/>
      <c r="D460" s="80"/>
    </row>
    <row r="461">
      <c r="A461" s="84"/>
      <c r="D461" s="80"/>
    </row>
    <row r="462">
      <c r="A462" s="84"/>
      <c r="D462" s="80"/>
    </row>
    <row r="463">
      <c r="A463" s="84"/>
      <c r="D463" s="80"/>
    </row>
    <row r="464">
      <c r="A464" s="84"/>
      <c r="D464" s="80"/>
    </row>
    <row r="465">
      <c r="A465" s="84"/>
      <c r="D465" s="80"/>
    </row>
    <row r="466">
      <c r="A466" s="84"/>
      <c r="D466" s="80"/>
    </row>
    <row r="467">
      <c r="A467" s="84"/>
      <c r="D467" s="80"/>
    </row>
    <row r="468">
      <c r="A468" s="84"/>
      <c r="D468" s="80"/>
    </row>
    <row r="469">
      <c r="A469" s="84"/>
      <c r="D469" s="80"/>
    </row>
    <row r="470">
      <c r="A470" s="84"/>
      <c r="D470" s="80"/>
    </row>
    <row r="471">
      <c r="A471" s="84"/>
      <c r="D471" s="80"/>
    </row>
    <row r="472">
      <c r="A472" s="84"/>
      <c r="D472" s="80"/>
    </row>
    <row r="473">
      <c r="A473" s="84"/>
      <c r="D473" s="80"/>
    </row>
    <row r="474">
      <c r="A474" s="84"/>
      <c r="D474" s="80"/>
    </row>
    <row r="475">
      <c r="A475" s="84"/>
      <c r="D475" s="80"/>
    </row>
    <row r="476">
      <c r="A476" s="84"/>
      <c r="D476" s="80"/>
    </row>
    <row r="477">
      <c r="A477" s="84"/>
      <c r="D477" s="80"/>
    </row>
    <row r="478">
      <c r="A478" s="84"/>
      <c r="D478" s="80"/>
    </row>
    <row r="479">
      <c r="A479" s="84"/>
      <c r="D479" s="80"/>
    </row>
    <row r="480">
      <c r="A480" s="84"/>
      <c r="D480" s="80"/>
    </row>
    <row r="481">
      <c r="A481" s="84"/>
      <c r="D481" s="80"/>
    </row>
    <row r="482">
      <c r="A482" s="84"/>
      <c r="D482" s="80"/>
    </row>
    <row r="483">
      <c r="A483" s="84"/>
      <c r="D483" s="80"/>
    </row>
    <row r="484">
      <c r="A484" s="84"/>
      <c r="D484" s="80"/>
    </row>
    <row r="485">
      <c r="A485" s="84"/>
      <c r="D485" s="80"/>
    </row>
    <row r="486">
      <c r="A486" s="84"/>
      <c r="D486" s="80"/>
    </row>
    <row r="487">
      <c r="A487" s="84"/>
      <c r="D487" s="80"/>
    </row>
    <row r="488">
      <c r="A488" s="84"/>
      <c r="D488" s="80"/>
    </row>
    <row r="489">
      <c r="A489" s="84"/>
      <c r="D489" s="80"/>
    </row>
    <row r="490">
      <c r="A490" s="84"/>
      <c r="D490" s="80"/>
    </row>
    <row r="491">
      <c r="A491" s="84"/>
      <c r="D491" s="80"/>
    </row>
    <row r="492">
      <c r="A492" s="84"/>
      <c r="D492" s="80"/>
    </row>
    <row r="493">
      <c r="A493" s="84"/>
      <c r="D493" s="80"/>
    </row>
    <row r="494">
      <c r="A494" s="84"/>
      <c r="D494" s="80"/>
    </row>
    <row r="495">
      <c r="A495" s="84"/>
      <c r="D495" s="80"/>
    </row>
    <row r="496">
      <c r="A496" s="84"/>
      <c r="D496" s="80"/>
    </row>
    <row r="497">
      <c r="A497" s="84"/>
      <c r="D497" s="80"/>
    </row>
    <row r="498">
      <c r="A498" s="84"/>
      <c r="D498" s="80"/>
    </row>
    <row r="499">
      <c r="A499" s="84"/>
      <c r="D499" s="80"/>
    </row>
    <row r="500">
      <c r="A500" s="84"/>
      <c r="D500" s="80"/>
    </row>
    <row r="501">
      <c r="A501" s="84"/>
      <c r="D501" s="80"/>
    </row>
    <row r="502">
      <c r="A502" s="84"/>
      <c r="D502" s="80"/>
    </row>
    <row r="503">
      <c r="A503" s="84"/>
      <c r="D503" s="80"/>
    </row>
    <row r="504">
      <c r="A504" s="84"/>
      <c r="D504" s="80"/>
    </row>
    <row r="505">
      <c r="A505" s="84"/>
      <c r="D505" s="80"/>
    </row>
    <row r="506">
      <c r="A506" s="84"/>
      <c r="D506" s="80"/>
    </row>
    <row r="507">
      <c r="A507" s="84"/>
      <c r="D507" s="80"/>
    </row>
    <row r="508">
      <c r="A508" s="84"/>
      <c r="D508" s="80"/>
    </row>
    <row r="509">
      <c r="A509" s="84"/>
      <c r="D509" s="80"/>
    </row>
    <row r="510">
      <c r="A510" s="84"/>
      <c r="D510" s="80"/>
    </row>
    <row r="511">
      <c r="A511" s="84"/>
      <c r="D511" s="80"/>
    </row>
    <row r="512">
      <c r="A512" s="84"/>
      <c r="D512" s="80"/>
    </row>
    <row r="513">
      <c r="A513" s="84"/>
      <c r="D513" s="80"/>
    </row>
    <row r="514">
      <c r="A514" s="84"/>
      <c r="D514" s="80"/>
    </row>
    <row r="515">
      <c r="A515" s="84"/>
      <c r="D515" s="80"/>
    </row>
    <row r="516">
      <c r="A516" s="84"/>
      <c r="D516" s="80"/>
    </row>
    <row r="517">
      <c r="A517" s="84"/>
      <c r="D517" s="80"/>
    </row>
    <row r="518">
      <c r="A518" s="84"/>
      <c r="D518" s="80"/>
    </row>
    <row r="519">
      <c r="A519" s="84"/>
      <c r="D519" s="80"/>
    </row>
    <row r="520">
      <c r="A520" s="84"/>
      <c r="D520" s="80"/>
    </row>
    <row r="521">
      <c r="A521" s="84"/>
      <c r="D521" s="80"/>
    </row>
    <row r="522">
      <c r="A522" s="84"/>
      <c r="D522" s="80"/>
    </row>
    <row r="523">
      <c r="A523" s="84"/>
      <c r="D523" s="80"/>
    </row>
    <row r="524">
      <c r="A524" s="84"/>
      <c r="D524" s="80"/>
    </row>
    <row r="525">
      <c r="A525" s="84"/>
      <c r="D525" s="80"/>
    </row>
    <row r="526">
      <c r="A526" s="84"/>
      <c r="D526" s="80"/>
    </row>
    <row r="527">
      <c r="A527" s="84"/>
      <c r="D527" s="80"/>
    </row>
    <row r="528">
      <c r="A528" s="84"/>
      <c r="D528" s="80"/>
    </row>
    <row r="529">
      <c r="A529" s="84"/>
      <c r="D529" s="80"/>
    </row>
    <row r="530">
      <c r="A530" s="84"/>
      <c r="D530" s="80"/>
    </row>
    <row r="531">
      <c r="A531" s="84"/>
      <c r="D531" s="80"/>
    </row>
    <row r="532">
      <c r="A532" s="84"/>
      <c r="D532" s="80"/>
    </row>
    <row r="533">
      <c r="A533" s="84"/>
      <c r="D533" s="80"/>
    </row>
    <row r="534">
      <c r="A534" s="84"/>
      <c r="D534" s="80"/>
    </row>
    <row r="535">
      <c r="A535" s="84"/>
      <c r="D535" s="80"/>
    </row>
    <row r="536">
      <c r="A536" s="84"/>
      <c r="D536" s="80"/>
    </row>
    <row r="537">
      <c r="A537" s="84"/>
      <c r="D537" s="80"/>
    </row>
    <row r="538">
      <c r="A538" s="84"/>
      <c r="D538" s="80"/>
    </row>
    <row r="539">
      <c r="A539" s="84"/>
      <c r="D539" s="80"/>
    </row>
    <row r="540">
      <c r="A540" s="84"/>
      <c r="D540" s="80"/>
    </row>
    <row r="541">
      <c r="A541" s="84"/>
      <c r="D541" s="80"/>
    </row>
    <row r="542">
      <c r="A542" s="84"/>
      <c r="D542" s="80"/>
    </row>
    <row r="543">
      <c r="A543" s="84"/>
      <c r="D543" s="80"/>
    </row>
    <row r="544">
      <c r="A544" s="84"/>
      <c r="D544" s="80"/>
    </row>
    <row r="545">
      <c r="A545" s="84"/>
      <c r="D545" s="80"/>
    </row>
    <row r="546">
      <c r="A546" s="84"/>
      <c r="D546" s="80"/>
    </row>
    <row r="547">
      <c r="A547" s="84"/>
      <c r="D547" s="80"/>
    </row>
    <row r="548">
      <c r="A548" s="84"/>
      <c r="D548" s="80"/>
    </row>
    <row r="549">
      <c r="A549" s="84"/>
      <c r="D549" s="80"/>
    </row>
    <row r="550">
      <c r="A550" s="84"/>
      <c r="D550" s="80"/>
    </row>
    <row r="551">
      <c r="A551" s="84"/>
      <c r="D551" s="80"/>
    </row>
    <row r="552">
      <c r="A552" s="84"/>
      <c r="D552" s="80"/>
    </row>
    <row r="553">
      <c r="A553" s="84"/>
      <c r="D553" s="80"/>
    </row>
    <row r="554">
      <c r="A554" s="84"/>
      <c r="D554" s="80"/>
    </row>
    <row r="555">
      <c r="A555" s="84"/>
      <c r="D555" s="80"/>
    </row>
    <row r="556">
      <c r="A556" s="84"/>
      <c r="D556" s="80"/>
    </row>
    <row r="557">
      <c r="A557" s="84"/>
      <c r="D557" s="80"/>
    </row>
    <row r="558">
      <c r="A558" s="84"/>
      <c r="D558" s="80"/>
    </row>
    <row r="559">
      <c r="A559" s="84"/>
      <c r="D559" s="80"/>
    </row>
    <row r="560">
      <c r="A560" s="84"/>
      <c r="D560" s="80"/>
    </row>
    <row r="561">
      <c r="A561" s="84"/>
      <c r="D561" s="80"/>
    </row>
    <row r="562">
      <c r="A562" s="84"/>
      <c r="D562" s="80"/>
    </row>
    <row r="563">
      <c r="A563" s="84"/>
      <c r="D563" s="80"/>
    </row>
    <row r="564">
      <c r="A564" s="84"/>
      <c r="D564" s="80"/>
    </row>
    <row r="565">
      <c r="A565" s="84"/>
      <c r="D565" s="80"/>
    </row>
    <row r="566">
      <c r="A566" s="84"/>
      <c r="D566" s="80"/>
    </row>
    <row r="567">
      <c r="A567" s="84"/>
      <c r="D567" s="80"/>
    </row>
    <row r="568">
      <c r="A568" s="84"/>
      <c r="D568" s="80"/>
    </row>
    <row r="569">
      <c r="A569" s="84"/>
      <c r="D569" s="80"/>
    </row>
    <row r="570">
      <c r="A570" s="84"/>
      <c r="D570" s="80"/>
    </row>
    <row r="571">
      <c r="A571" s="84"/>
      <c r="D571" s="80"/>
    </row>
    <row r="572">
      <c r="A572" s="84"/>
      <c r="D572" s="80"/>
    </row>
    <row r="573">
      <c r="A573" s="84"/>
      <c r="D573" s="80"/>
    </row>
    <row r="574">
      <c r="A574" s="84"/>
      <c r="D574" s="80"/>
    </row>
    <row r="575">
      <c r="A575" s="84"/>
      <c r="D575" s="80"/>
    </row>
    <row r="576">
      <c r="A576" s="84"/>
      <c r="D576" s="80"/>
    </row>
    <row r="577">
      <c r="A577" s="84"/>
      <c r="D577" s="80"/>
    </row>
    <row r="578">
      <c r="A578" s="84"/>
      <c r="D578" s="80"/>
    </row>
    <row r="579">
      <c r="A579" s="84"/>
      <c r="D579" s="80"/>
    </row>
    <row r="580">
      <c r="A580" s="84"/>
      <c r="D580" s="80"/>
    </row>
    <row r="581">
      <c r="A581" s="84"/>
      <c r="D581" s="80"/>
    </row>
    <row r="582">
      <c r="A582" s="84"/>
      <c r="D582" s="80"/>
    </row>
    <row r="583">
      <c r="A583" s="84"/>
      <c r="D583" s="80"/>
    </row>
    <row r="584">
      <c r="A584" s="84"/>
      <c r="D584" s="80"/>
    </row>
    <row r="585">
      <c r="A585" s="84"/>
      <c r="D585" s="80"/>
    </row>
    <row r="586">
      <c r="A586" s="84"/>
      <c r="D586" s="80"/>
    </row>
    <row r="587">
      <c r="A587" s="84"/>
      <c r="D587" s="80"/>
    </row>
    <row r="588">
      <c r="A588" s="84"/>
      <c r="D588" s="80"/>
    </row>
    <row r="589">
      <c r="A589" s="84"/>
      <c r="D589" s="80"/>
    </row>
    <row r="590">
      <c r="A590" s="84"/>
      <c r="D590" s="80"/>
    </row>
    <row r="591">
      <c r="A591" s="84"/>
      <c r="D591" s="80"/>
    </row>
    <row r="592">
      <c r="A592" s="84"/>
      <c r="D592" s="80"/>
    </row>
    <row r="593">
      <c r="A593" s="84"/>
      <c r="D593" s="80"/>
    </row>
    <row r="594">
      <c r="A594" s="84"/>
      <c r="D594" s="80"/>
    </row>
    <row r="595">
      <c r="A595" s="84"/>
      <c r="D595" s="80"/>
    </row>
    <row r="596">
      <c r="A596" s="84"/>
      <c r="D596" s="80"/>
    </row>
    <row r="597">
      <c r="A597" s="84"/>
      <c r="D597" s="80"/>
    </row>
    <row r="598">
      <c r="A598" s="84"/>
      <c r="D598" s="80"/>
    </row>
    <row r="599">
      <c r="A599" s="84"/>
      <c r="D599" s="80"/>
    </row>
    <row r="600">
      <c r="A600" s="84"/>
      <c r="D600" s="80"/>
    </row>
    <row r="601">
      <c r="A601" s="84"/>
      <c r="D601" s="80"/>
    </row>
    <row r="602">
      <c r="A602" s="84"/>
      <c r="D602" s="80"/>
    </row>
    <row r="603">
      <c r="A603" s="84"/>
      <c r="D603" s="80"/>
    </row>
    <row r="604">
      <c r="A604" s="84"/>
      <c r="D604" s="80"/>
    </row>
    <row r="605">
      <c r="A605" s="84"/>
      <c r="D605" s="80"/>
    </row>
    <row r="606">
      <c r="A606" s="84"/>
      <c r="D606" s="80"/>
    </row>
    <row r="607">
      <c r="A607" s="84"/>
      <c r="D607" s="80"/>
    </row>
    <row r="608">
      <c r="A608" s="84"/>
      <c r="D608" s="80"/>
    </row>
    <row r="609">
      <c r="A609" s="84"/>
      <c r="D609" s="80"/>
    </row>
    <row r="610">
      <c r="A610" s="84"/>
      <c r="D610" s="80"/>
    </row>
    <row r="611">
      <c r="A611" s="84"/>
      <c r="D611" s="80"/>
    </row>
    <row r="612">
      <c r="A612" s="84"/>
      <c r="D612" s="80"/>
    </row>
    <row r="613">
      <c r="A613" s="84"/>
      <c r="D613" s="80"/>
    </row>
    <row r="614">
      <c r="A614" s="84"/>
      <c r="D614" s="80"/>
    </row>
    <row r="615">
      <c r="A615" s="84"/>
      <c r="D615" s="80"/>
    </row>
    <row r="616">
      <c r="A616" s="84"/>
      <c r="D616" s="80"/>
    </row>
    <row r="617">
      <c r="A617" s="84"/>
      <c r="D617" s="80"/>
    </row>
    <row r="618">
      <c r="A618" s="84"/>
      <c r="D618" s="80"/>
    </row>
    <row r="619">
      <c r="A619" s="84"/>
      <c r="D619" s="80"/>
    </row>
    <row r="620">
      <c r="A620" s="84"/>
      <c r="D620" s="80"/>
    </row>
    <row r="621">
      <c r="A621" s="84"/>
      <c r="D621" s="80"/>
    </row>
    <row r="622">
      <c r="A622" s="84"/>
      <c r="D622" s="80"/>
    </row>
    <row r="623">
      <c r="A623" s="84"/>
      <c r="D623" s="80"/>
    </row>
    <row r="624">
      <c r="A624" s="84"/>
      <c r="D624" s="80"/>
    </row>
    <row r="625">
      <c r="A625" s="84"/>
      <c r="D625" s="80"/>
    </row>
    <row r="626">
      <c r="A626" s="84"/>
      <c r="D626" s="80"/>
    </row>
    <row r="627">
      <c r="A627" s="84"/>
      <c r="D627" s="80"/>
    </row>
    <row r="628">
      <c r="A628" s="84"/>
      <c r="D628" s="80"/>
    </row>
    <row r="629">
      <c r="A629" s="84"/>
      <c r="D629" s="80"/>
    </row>
    <row r="630">
      <c r="A630" s="84"/>
      <c r="D630" s="80"/>
    </row>
    <row r="631">
      <c r="A631" s="84"/>
      <c r="D631" s="80"/>
    </row>
    <row r="632">
      <c r="A632" s="84"/>
      <c r="D632" s="80"/>
    </row>
    <row r="633">
      <c r="A633" s="84"/>
      <c r="D633" s="80"/>
    </row>
    <row r="634">
      <c r="A634" s="84"/>
      <c r="D634" s="80"/>
    </row>
    <row r="635">
      <c r="A635" s="84"/>
      <c r="D635" s="80"/>
    </row>
    <row r="636">
      <c r="A636" s="84"/>
      <c r="D636" s="80"/>
    </row>
    <row r="637">
      <c r="A637" s="84"/>
      <c r="D637" s="80"/>
    </row>
    <row r="638">
      <c r="A638" s="84"/>
      <c r="D638" s="80"/>
    </row>
    <row r="639">
      <c r="A639" s="84"/>
      <c r="D639" s="80"/>
    </row>
    <row r="640">
      <c r="A640" s="84"/>
      <c r="D640" s="80"/>
    </row>
    <row r="641">
      <c r="A641" s="84"/>
      <c r="D641" s="80"/>
    </row>
    <row r="642">
      <c r="A642" s="84"/>
      <c r="D642" s="80"/>
    </row>
    <row r="643">
      <c r="A643" s="84"/>
      <c r="D643" s="80"/>
    </row>
    <row r="644">
      <c r="A644" s="84"/>
      <c r="D644" s="80"/>
    </row>
    <row r="645">
      <c r="A645" s="84"/>
      <c r="D645" s="80"/>
    </row>
    <row r="646">
      <c r="A646" s="84"/>
      <c r="D646" s="80"/>
    </row>
    <row r="647">
      <c r="A647" s="84"/>
      <c r="D647" s="80"/>
    </row>
    <row r="648">
      <c r="A648" s="84"/>
      <c r="D648" s="80"/>
    </row>
    <row r="649">
      <c r="A649" s="84"/>
      <c r="D649" s="80"/>
    </row>
    <row r="650">
      <c r="A650" s="84"/>
      <c r="D650" s="80"/>
    </row>
    <row r="651">
      <c r="A651" s="84"/>
      <c r="D651" s="80"/>
    </row>
    <row r="652">
      <c r="A652" s="84"/>
      <c r="D652" s="80"/>
    </row>
    <row r="653">
      <c r="A653" s="84"/>
      <c r="D653" s="80"/>
    </row>
    <row r="654">
      <c r="A654" s="84"/>
      <c r="D654" s="80"/>
    </row>
    <row r="655">
      <c r="A655" s="84"/>
      <c r="D655" s="80"/>
    </row>
    <row r="656">
      <c r="A656" s="84"/>
      <c r="D656" s="80"/>
    </row>
    <row r="657">
      <c r="A657" s="84"/>
      <c r="D657" s="80"/>
    </row>
    <row r="658">
      <c r="A658" s="84"/>
      <c r="D658" s="80"/>
    </row>
    <row r="659">
      <c r="A659" s="84"/>
      <c r="D659" s="80"/>
    </row>
    <row r="660">
      <c r="A660" s="84"/>
      <c r="D660" s="80"/>
    </row>
    <row r="661">
      <c r="A661" s="84"/>
      <c r="D661" s="80"/>
    </row>
    <row r="662">
      <c r="A662" s="84"/>
      <c r="D662" s="80"/>
    </row>
    <row r="663">
      <c r="A663" s="84"/>
      <c r="D663" s="80"/>
    </row>
    <row r="664">
      <c r="A664" s="84"/>
      <c r="D664" s="80"/>
    </row>
    <row r="665">
      <c r="A665" s="84"/>
      <c r="D665" s="80"/>
    </row>
    <row r="666">
      <c r="A666" s="84"/>
      <c r="D666" s="80"/>
    </row>
    <row r="667">
      <c r="A667" s="84"/>
      <c r="D667" s="80"/>
    </row>
    <row r="668">
      <c r="A668" s="84"/>
      <c r="D668" s="80"/>
    </row>
    <row r="669">
      <c r="A669" s="84"/>
      <c r="D669" s="80"/>
    </row>
    <row r="670">
      <c r="A670" s="84"/>
      <c r="D670" s="80"/>
    </row>
    <row r="671">
      <c r="A671" s="84"/>
      <c r="D671" s="80"/>
    </row>
    <row r="672">
      <c r="A672" s="84"/>
      <c r="D672" s="80"/>
    </row>
    <row r="673">
      <c r="A673" s="84"/>
      <c r="D673" s="80"/>
    </row>
    <row r="674">
      <c r="A674" s="84"/>
      <c r="D674" s="80"/>
    </row>
    <row r="675">
      <c r="A675" s="84"/>
      <c r="D675" s="80"/>
    </row>
    <row r="676">
      <c r="A676" s="84"/>
      <c r="D676" s="80"/>
    </row>
    <row r="677">
      <c r="A677" s="84"/>
      <c r="D677" s="80"/>
    </row>
    <row r="678">
      <c r="A678" s="84"/>
      <c r="D678" s="80"/>
    </row>
    <row r="679">
      <c r="A679" s="84"/>
      <c r="D679" s="80"/>
    </row>
    <row r="680">
      <c r="A680" s="84"/>
      <c r="D680" s="80"/>
    </row>
    <row r="681">
      <c r="A681" s="84"/>
      <c r="D681" s="80"/>
    </row>
    <row r="682">
      <c r="A682" s="84"/>
      <c r="D682" s="80"/>
    </row>
    <row r="683">
      <c r="A683" s="84"/>
      <c r="D683" s="80"/>
    </row>
    <row r="684">
      <c r="A684" s="84"/>
      <c r="D684" s="80"/>
    </row>
    <row r="685">
      <c r="A685" s="84"/>
      <c r="D685" s="80"/>
    </row>
    <row r="686">
      <c r="A686" s="84"/>
      <c r="D686" s="80"/>
    </row>
    <row r="687">
      <c r="A687" s="84"/>
      <c r="D687" s="80"/>
    </row>
    <row r="688">
      <c r="A688" s="84"/>
      <c r="D688" s="80"/>
    </row>
    <row r="689">
      <c r="A689" s="84"/>
      <c r="D689" s="80"/>
    </row>
    <row r="690">
      <c r="A690" s="84"/>
      <c r="D690" s="80"/>
    </row>
    <row r="691">
      <c r="A691" s="84"/>
      <c r="D691" s="80"/>
    </row>
    <row r="692">
      <c r="A692" s="84"/>
      <c r="D692" s="80"/>
    </row>
    <row r="693">
      <c r="A693" s="84"/>
      <c r="D693" s="80"/>
    </row>
    <row r="694">
      <c r="A694" s="84"/>
      <c r="D694" s="80"/>
    </row>
    <row r="695">
      <c r="A695" s="84"/>
      <c r="D695" s="80"/>
    </row>
    <row r="696">
      <c r="A696" s="84"/>
      <c r="D696" s="80"/>
    </row>
    <row r="697">
      <c r="A697" s="84"/>
      <c r="D697" s="80"/>
    </row>
    <row r="698">
      <c r="A698" s="84"/>
      <c r="D698" s="80"/>
    </row>
    <row r="699">
      <c r="A699" s="84"/>
      <c r="D699" s="80"/>
    </row>
    <row r="700">
      <c r="A700" s="84"/>
      <c r="D700" s="80"/>
    </row>
    <row r="701">
      <c r="A701" s="84"/>
      <c r="D701" s="80"/>
    </row>
    <row r="702">
      <c r="A702" s="84"/>
      <c r="D702" s="80"/>
    </row>
    <row r="703">
      <c r="A703" s="84"/>
      <c r="D703" s="80"/>
    </row>
    <row r="704">
      <c r="A704" s="84"/>
      <c r="D704" s="80"/>
    </row>
    <row r="705">
      <c r="A705" s="84"/>
      <c r="D705" s="80"/>
    </row>
    <row r="706">
      <c r="A706" s="84"/>
      <c r="D706" s="80"/>
    </row>
    <row r="707">
      <c r="A707" s="84"/>
      <c r="D707" s="80"/>
    </row>
    <row r="708">
      <c r="A708" s="84"/>
      <c r="D708" s="80"/>
    </row>
    <row r="709">
      <c r="A709" s="84"/>
      <c r="D709" s="80"/>
    </row>
    <row r="710">
      <c r="A710" s="84"/>
      <c r="D710" s="80"/>
    </row>
    <row r="711">
      <c r="A711" s="84"/>
      <c r="D711" s="80"/>
    </row>
    <row r="712">
      <c r="A712" s="84"/>
      <c r="D712" s="80"/>
    </row>
    <row r="713">
      <c r="A713" s="84"/>
      <c r="D713" s="80"/>
    </row>
    <row r="714">
      <c r="A714" s="84"/>
      <c r="D714" s="80"/>
    </row>
    <row r="715">
      <c r="A715" s="84"/>
      <c r="D715" s="80"/>
    </row>
    <row r="716">
      <c r="A716" s="84"/>
      <c r="D716" s="80"/>
    </row>
    <row r="717">
      <c r="A717" s="84"/>
      <c r="D717" s="80"/>
    </row>
    <row r="718">
      <c r="A718" s="84"/>
      <c r="D718" s="80"/>
    </row>
    <row r="719">
      <c r="A719" s="84"/>
      <c r="D719" s="80"/>
    </row>
    <row r="720">
      <c r="A720" s="84"/>
      <c r="D720" s="80"/>
    </row>
    <row r="721">
      <c r="A721" s="84"/>
      <c r="D721" s="80"/>
    </row>
    <row r="722">
      <c r="A722" s="84"/>
      <c r="D722" s="80"/>
    </row>
    <row r="723">
      <c r="A723" s="84"/>
      <c r="D723" s="80"/>
    </row>
    <row r="724">
      <c r="A724" s="84"/>
      <c r="D724" s="80"/>
    </row>
    <row r="725">
      <c r="A725" s="84"/>
      <c r="D725" s="80"/>
    </row>
    <row r="726">
      <c r="A726" s="84"/>
      <c r="D726" s="80"/>
    </row>
    <row r="727">
      <c r="A727" s="84"/>
      <c r="D727" s="80"/>
    </row>
    <row r="728">
      <c r="A728" s="84"/>
      <c r="D728" s="80"/>
    </row>
    <row r="729">
      <c r="A729" s="84"/>
      <c r="D729" s="80"/>
    </row>
    <row r="730">
      <c r="A730" s="84"/>
      <c r="D730" s="80"/>
    </row>
    <row r="731">
      <c r="A731" s="84"/>
      <c r="D731" s="80"/>
    </row>
    <row r="732">
      <c r="A732" s="84"/>
      <c r="D732" s="80"/>
    </row>
    <row r="733">
      <c r="A733" s="84"/>
      <c r="D733" s="80"/>
    </row>
    <row r="734">
      <c r="A734" s="84"/>
      <c r="D734" s="80"/>
    </row>
    <row r="735">
      <c r="A735" s="84"/>
      <c r="D735" s="80"/>
    </row>
    <row r="736">
      <c r="A736" s="84"/>
      <c r="D736" s="80"/>
    </row>
    <row r="737">
      <c r="A737" s="84"/>
      <c r="D737" s="80"/>
    </row>
    <row r="738">
      <c r="A738" s="84"/>
      <c r="D738" s="80"/>
    </row>
    <row r="739">
      <c r="A739" s="84"/>
      <c r="D739" s="80"/>
    </row>
    <row r="740">
      <c r="A740" s="84"/>
      <c r="D740" s="80"/>
    </row>
    <row r="741">
      <c r="A741" s="84"/>
      <c r="D741" s="80"/>
    </row>
    <row r="742">
      <c r="A742" s="84"/>
      <c r="D742" s="80"/>
    </row>
    <row r="743">
      <c r="A743" s="84"/>
      <c r="D743" s="80"/>
    </row>
    <row r="744">
      <c r="A744" s="84"/>
      <c r="D744" s="80"/>
    </row>
    <row r="745">
      <c r="A745" s="84"/>
      <c r="D745" s="80"/>
    </row>
    <row r="746">
      <c r="A746" s="84"/>
      <c r="D746" s="80"/>
    </row>
    <row r="747">
      <c r="A747" s="84"/>
      <c r="D747" s="80"/>
    </row>
    <row r="748">
      <c r="A748" s="84"/>
      <c r="D748" s="80"/>
    </row>
    <row r="749">
      <c r="A749" s="84"/>
      <c r="D749" s="80"/>
    </row>
    <row r="750">
      <c r="A750" s="84"/>
      <c r="D750" s="80"/>
    </row>
    <row r="751">
      <c r="A751" s="84"/>
      <c r="D751" s="80"/>
    </row>
    <row r="752">
      <c r="A752" s="84"/>
      <c r="D752" s="80"/>
    </row>
    <row r="753">
      <c r="A753" s="84"/>
      <c r="D753" s="80"/>
    </row>
    <row r="754">
      <c r="A754" s="84"/>
      <c r="D754" s="80"/>
    </row>
    <row r="755">
      <c r="A755" s="84"/>
      <c r="D755" s="80"/>
    </row>
    <row r="756">
      <c r="A756" s="84"/>
      <c r="D756" s="80"/>
    </row>
    <row r="757">
      <c r="A757" s="84"/>
      <c r="D757" s="80"/>
    </row>
    <row r="758">
      <c r="A758" s="84"/>
      <c r="D758" s="80"/>
    </row>
    <row r="759">
      <c r="A759" s="84"/>
      <c r="D759" s="80"/>
    </row>
    <row r="760">
      <c r="A760" s="84"/>
      <c r="D760" s="80"/>
    </row>
    <row r="761">
      <c r="A761" s="84"/>
      <c r="D761" s="80"/>
    </row>
    <row r="762">
      <c r="A762" s="84"/>
      <c r="D762" s="80"/>
    </row>
    <row r="763">
      <c r="A763" s="84"/>
      <c r="D763" s="80"/>
    </row>
    <row r="764">
      <c r="A764" s="84"/>
      <c r="D764" s="80"/>
    </row>
    <row r="765">
      <c r="A765" s="84"/>
      <c r="D765" s="80"/>
    </row>
    <row r="766">
      <c r="A766" s="84"/>
      <c r="D766" s="80"/>
    </row>
    <row r="767">
      <c r="A767" s="84"/>
      <c r="D767" s="80"/>
    </row>
    <row r="768">
      <c r="A768" s="84"/>
      <c r="D768" s="80"/>
    </row>
    <row r="769">
      <c r="A769" s="84"/>
      <c r="D769" s="80"/>
    </row>
    <row r="770">
      <c r="A770" s="84"/>
      <c r="D770" s="80"/>
    </row>
    <row r="771">
      <c r="A771" s="84"/>
      <c r="D771" s="80"/>
    </row>
    <row r="772">
      <c r="A772" s="84"/>
      <c r="D772" s="80"/>
    </row>
    <row r="773">
      <c r="A773" s="84"/>
      <c r="D773" s="80"/>
    </row>
    <row r="774">
      <c r="A774" s="84"/>
      <c r="D774" s="80"/>
    </row>
    <row r="775">
      <c r="A775" s="84"/>
      <c r="D775" s="80"/>
    </row>
    <row r="776">
      <c r="A776" s="84"/>
      <c r="D776" s="80"/>
    </row>
    <row r="777">
      <c r="A777" s="84"/>
      <c r="D777" s="80"/>
    </row>
    <row r="778">
      <c r="A778" s="84"/>
      <c r="D778" s="80"/>
    </row>
    <row r="779">
      <c r="A779" s="84"/>
      <c r="D779" s="80"/>
    </row>
    <row r="780">
      <c r="A780" s="84"/>
      <c r="D780" s="80"/>
    </row>
    <row r="781">
      <c r="A781" s="84"/>
      <c r="D781" s="80"/>
    </row>
    <row r="782">
      <c r="A782" s="84"/>
      <c r="D782" s="80"/>
    </row>
    <row r="783">
      <c r="A783" s="84"/>
      <c r="D783" s="80"/>
    </row>
    <row r="784">
      <c r="A784" s="84"/>
      <c r="D784" s="80"/>
    </row>
    <row r="785">
      <c r="A785" s="84"/>
      <c r="D785" s="80"/>
    </row>
    <row r="786">
      <c r="A786" s="84"/>
      <c r="D786" s="80"/>
    </row>
    <row r="787">
      <c r="A787" s="84"/>
      <c r="D787" s="80"/>
    </row>
    <row r="788">
      <c r="A788" s="84"/>
      <c r="D788" s="80"/>
    </row>
    <row r="789">
      <c r="A789" s="84"/>
      <c r="D789" s="80"/>
    </row>
    <row r="790">
      <c r="A790" s="84"/>
      <c r="D790" s="80"/>
    </row>
    <row r="791">
      <c r="A791" s="84"/>
      <c r="D791" s="80"/>
    </row>
    <row r="792">
      <c r="A792" s="84"/>
      <c r="D792" s="80"/>
    </row>
    <row r="793">
      <c r="A793" s="84"/>
      <c r="D793" s="80"/>
    </row>
    <row r="794">
      <c r="A794" s="84"/>
      <c r="D794" s="80"/>
    </row>
    <row r="795">
      <c r="A795" s="84"/>
      <c r="D795" s="80"/>
    </row>
    <row r="796">
      <c r="A796" s="84"/>
      <c r="D796" s="80"/>
    </row>
    <row r="797">
      <c r="A797" s="84"/>
      <c r="D797" s="80"/>
    </row>
    <row r="798">
      <c r="A798" s="84"/>
      <c r="D798" s="80"/>
    </row>
    <row r="799">
      <c r="A799" s="84"/>
      <c r="D799" s="80"/>
    </row>
    <row r="800">
      <c r="A800" s="84"/>
      <c r="D800" s="80"/>
    </row>
    <row r="801">
      <c r="A801" s="84"/>
      <c r="D801" s="80"/>
    </row>
    <row r="802">
      <c r="A802" s="84"/>
      <c r="D802" s="80"/>
    </row>
    <row r="803">
      <c r="A803" s="84"/>
      <c r="D803" s="80"/>
    </row>
    <row r="804">
      <c r="A804" s="84"/>
      <c r="D804" s="80"/>
    </row>
    <row r="805">
      <c r="A805" s="84"/>
      <c r="D805" s="80"/>
    </row>
    <row r="806">
      <c r="A806" s="84"/>
      <c r="D806" s="80"/>
    </row>
    <row r="807">
      <c r="A807" s="84"/>
      <c r="D807" s="80"/>
    </row>
    <row r="808">
      <c r="A808" s="84"/>
      <c r="D808" s="80"/>
    </row>
    <row r="809">
      <c r="A809" s="84"/>
      <c r="D809" s="80"/>
    </row>
    <row r="810">
      <c r="A810" s="84"/>
      <c r="D810" s="80"/>
    </row>
    <row r="811">
      <c r="A811" s="84"/>
      <c r="D811" s="80"/>
    </row>
    <row r="812">
      <c r="A812" s="84"/>
      <c r="D812" s="80"/>
    </row>
    <row r="813">
      <c r="A813" s="84"/>
      <c r="D813" s="80"/>
    </row>
    <row r="814">
      <c r="A814" s="84"/>
      <c r="D814" s="80"/>
    </row>
    <row r="815">
      <c r="A815" s="84"/>
      <c r="D815" s="80"/>
    </row>
    <row r="816">
      <c r="A816" s="84"/>
      <c r="D816" s="80"/>
    </row>
    <row r="817">
      <c r="A817" s="84"/>
      <c r="D817" s="80"/>
    </row>
    <row r="818">
      <c r="A818" s="84"/>
      <c r="D818" s="80"/>
    </row>
    <row r="819">
      <c r="A819" s="84"/>
      <c r="D819" s="80"/>
    </row>
    <row r="820">
      <c r="A820" s="84"/>
      <c r="D820" s="80"/>
    </row>
    <row r="821">
      <c r="A821" s="84"/>
      <c r="D821" s="80"/>
    </row>
    <row r="822">
      <c r="A822" s="84"/>
      <c r="D822" s="80"/>
    </row>
    <row r="823">
      <c r="A823" s="84"/>
      <c r="D823" s="80"/>
    </row>
    <row r="824">
      <c r="A824" s="84"/>
      <c r="D824" s="80"/>
    </row>
    <row r="825">
      <c r="A825" s="84"/>
      <c r="D825" s="80"/>
    </row>
    <row r="826">
      <c r="A826" s="84"/>
      <c r="D826" s="80"/>
    </row>
    <row r="827">
      <c r="A827" s="84"/>
      <c r="D827" s="80"/>
    </row>
    <row r="828">
      <c r="A828" s="84"/>
      <c r="D828" s="80"/>
    </row>
    <row r="829">
      <c r="A829" s="84"/>
      <c r="D829" s="80"/>
    </row>
    <row r="830">
      <c r="A830" s="84"/>
      <c r="D830" s="80"/>
    </row>
    <row r="831">
      <c r="A831" s="84"/>
      <c r="D831" s="80"/>
    </row>
    <row r="832">
      <c r="A832" s="84"/>
      <c r="D832" s="80"/>
    </row>
    <row r="833">
      <c r="A833" s="84"/>
      <c r="D833" s="80"/>
    </row>
    <row r="834">
      <c r="A834" s="84"/>
      <c r="D834" s="80"/>
    </row>
    <row r="835">
      <c r="A835" s="84"/>
      <c r="D835" s="80"/>
    </row>
    <row r="836">
      <c r="A836" s="84"/>
      <c r="D836" s="80"/>
    </row>
    <row r="837">
      <c r="A837" s="84"/>
      <c r="D837" s="80"/>
    </row>
    <row r="838">
      <c r="A838" s="84"/>
      <c r="D838" s="80"/>
    </row>
    <row r="839">
      <c r="A839" s="84"/>
      <c r="D839" s="80"/>
    </row>
    <row r="840">
      <c r="A840" s="84"/>
      <c r="D840" s="80"/>
    </row>
    <row r="841">
      <c r="A841" s="84"/>
      <c r="D841" s="80"/>
    </row>
    <row r="842">
      <c r="A842" s="84"/>
      <c r="D842" s="80"/>
    </row>
    <row r="843">
      <c r="A843" s="84"/>
      <c r="D843" s="80"/>
    </row>
    <row r="844">
      <c r="A844" s="84"/>
      <c r="D844" s="80"/>
    </row>
    <row r="845">
      <c r="A845" s="84"/>
      <c r="D845" s="80"/>
    </row>
    <row r="846">
      <c r="A846" s="84"/>
      <c r="D846" s="80"/>
    </row>
    <row r="847">
      <c r="A847" s="84"/>
      <c r="D847" s="80"/>
    </row>
    <row r="848">
      <c r="A848" s="84"/>
      <c r="D848" s="80"/>
    </row>
    <row r="849">
      <c r="A849" s="84"/>
      <c r="D849" s="80"/>
    </row>
    <row r="850">
      <c r="A850" s="84"/>
      <c r="D850" s="80"/>
    </row>
    <row r="851">
      <c r="A851" s="84"/>
      <c r="D851" s="80"/>
    </row>
    <row r="852">
      <c r="A852" s="84"/>
      <c r="D852" s="80"/>
    </row>
    <row r="853">
      <c r="A853" s="84"/>
      <c r="D853" s="80"/>
    </row>
    <row r="854">
      <c r="A854" s="84"/>
      <c r="D854" s="80"/>
    </row>
    <row r="855">
      <c r="A855" s="84"/>
      <c r="D855" s="80"/>
    </row>
    <row r="856">
      <c r="A856" s="84"/>
      <c r="D856" s="80"/>
    </row>
    <row r="857">
      <c r="A857" s="84"/>
      <c r="D857" s="80"/>
    </row>
    <row r="858">
      <c r="A858" s="84"/>
      <c r="D858" s="80"/>
    </row>
    <row r="859">
      <c r="A859" s="84"/>
      <c r="D859" s="80"/>
    </row>
    <row r="860">
      <c r="A860" s="84"/>
      <c r="D860" s="80"/>
    </row>
    <row r="861">
      <c r="A861" s="84"/>
      <c r="D861" s="80"/>
    </row>
    <row r="862">
      <c r="A862" s="84"/>
      <c r="D862" s="80"/>
    </row>
    <row r="863">
      <c r="A863" s="84"/>
      <c r="D863" s="80"/>
    </row>
    <row r="864">
      <c r="A864" s="84"/>
      <c r="D864" s="80"/>
    </row>
    <row r="865">
      <c r="A865" s="84"/>
      <c r="D865" s="80"/>
    </row>
    <row r="866">
      <c r="A866" s="84"/>
      <c r="D866" s="80"/>
    </row>
    <row r="867">
      <c r="A867" s="84"/>
      <c r="D867" s="80"/>
    </row>
    <row r="868">
      <c r="A868" s="84"/>
      <c r="D868" s="80"/>
    </row>
    <row r="869">
      <c r="A869" s="84"/>
      <c r="D869" s="80"/>
    </row>
    <row r="870">
      <c r="A870" s="84"/>
      <c r="D870" s="80"/>
    </row>
    <row r="871">
      <c r="A871" s="84"/>
      <c r="D871" s="80"/>
    </row>
    <row r="872">
      <c r="A872" s="84"/>
      <c r="D872" s="80"/>
    </row>
    <row r="873">
      <c r="A873" s="84"/>
      <c r="D873" s="80"/>
    </row>
    <row r="874">
      <c r="A874" s="84"/>
      <c r="D874" s="80"/>
    </row>
    <row r="875">
      <c r="A875" s="84"/>
      <c r="D875" s="80"/>
    </row>
    <row r="876">
      <c r="A876" s="84"/>
      <c r="D876" s="80"/>
    </row>
    <row r="877">
      <c r="A877" s="84"/>
      <c r="D877" s="80"/>
    </row>
    <row r="878">
      <c r="A878" s="84"/>
      <c r="D878" s="80"/>
    </row>
    <row r="879">
      <c r="A879" s="84"/>
      <c r="D879" s="80"/>
    </row>
    <row r="880">
      <c r="A880" s="84"/>
      <c r="D880" s="80"/>
    </row>
    <row r="881">
      <c r="A881" s="84"/>
      <c r="D881" s="80"/>
    </row>
    <row r="882">
      <c r="A882" s="84"/>
      <c r="D882" s="80"/>
    </row>
    <row r="883">
      <c r="A883" s="84"/>
      <c r="D883" s="80"/>
    </row>
    <row r="884">
      <c r="A884" s="84"/>
      <c r="D884" s="80"/>
    </row>
    <row r="885">
      <c r="A885" s="84"/>
      <c r="D885" s="80"/>
    </row>
    <row r="886">
      <c r="A886" s="84"/>
      <c r="D886" s="80"/>
    </row>
    <row r="887">
      <c r="A887" s="84"/>
      <c r="D887" s="80"/>
    </row>
    <row r="888">
      <c r="A888" s="84"/>
      <c r="D888" s="80"/>
    </row>
    <row r="889">
      <c r="A889" s="84"/>
      <c r="D889" s="80"/>
    </row>
    <row r="890">
      <c r="A890" s="84"/>
      <c r="D890" s="80"/>
    </row>
    <row r="891">
      <c r="A891" s="84"/>
      <c r="D891" s="80"/>
    </row>
    <row r="892">
      <c r="A892" s="84"/>
      <c r="D892" s="80"/>
    </row>
    <row r="893">
      <c r="A893" s="84"/>
      <c r="D893" s="80"/>
    </row>
    <row r="894">
      <c r="A894" s="84"/>
      <c r="D894" s="80"/>
    </row>
    <row r="895">
      <c r="A895" s="84"/>
      <c r="D895" s="80"/>
    </row>
    <row r="896">
      <c r="A896" s="84"/>
      <c r="D896" s="80"/>
    </row>
    <row r="897">
      <c r="A897" s="84"/>
      <c r="D897" s="80"/>
    </row>
    <row r="898">
      <c r="A898" s="84"/>
      <c r="D898" s="80"/>
    </row>
    <row r="899">
      <c r="A899" s="84"/>
      <c r="D899" s="80"/>
    </row>
    <row r="900">
      <c r="A900" s="84"/>
      <c r="D900" s="80"/>
    </row>
    <row r="901">
      <c r="A901" s="84"/>
      <c r="D901" s="80"/>
    </row>
    <row r="902">
      <c r="A902" s="84"/>
      <c r="D902" s="80"/>
    </row>
    <row r="903">
      <c r="A903" s="84"/>
      <c r="D903" s="80"/>
    </row>
    <row r="904">
      <c r="A904" s="84"/>
      <c r="D904" s="80"/>
    </row>
    <row r="905">
      <c r="A905" s="84"/>
      <c r="D905" s="80"/>
    </row>
    <row r="906">
      <c r="A906" s="84"/>
      <c r="D906" s="80"/>
    </row>
    <row r="907">
      <c r="A907" s="84"/>
      <c r="D907" s="80"/>
    </row>
    <row r="908">
      <c r="A908" s="84"/>
      <c r="D908" s="80"/>
    </row>
    <row r="909">
      <c r="A909" s="84"/>
      <c r="D909" s="80"/>
    </row>
    <row r="910">
      <c r="A910" s="84"/>
      <c r="D910" s="80"/>
    </row>
    <row r="911">
      <c r="A911" s="84"/>
      <c r="D911" s="80"/>
    </row>
    <row r="912">
      <c r="A912" s="84"/>
      <c r="D912" s="80"/>
    </row>
    <row r="913">
      <c r="A913" s="84"/>
      <c r="D913" s="80"/>
    </row>
    <row r="914">
      <c r="A914" s="84"/>
      <c r="D914" s="80"/>
    </row>
    <row r="915">
      <c r="A915" s="84"/>
      <c r="D915" s="80"/>
    </row>
    <row r="916">
      <c r="A916" s="84"/>
      <c r="D916" s="80"/>
    </row>
    <row r="917">
      <c r="A917" s="84"/>
      <c r="D917" s="80"/>
    </row>
    <row r="918">
      <c r="A918" s="84"/>
      <c r="D918" s="80"/>
    </row>
    <row r="919">
      <c r="A919" s="84"/>
      <c r="D919" s="80"/>
    </row>
    <row r="920">
      <c r="A920" s="84"/>
      <c r="D920" s="80"/>
    </row>
    <row r="921">
      <c r="A921" s="84"/>
      <c r="D921" s="80"/>
    </row>
    <row r="922">
      <c r="A922" s="84"/>
      <c r="D922" s="80"/>
    </row>
    <row r="923">
      <c r="A923" s="84"/>
      <c r="D923" s="80"/>
    </row>
    <row r="924">
      <c r="A924" s="84"/>
      <c r="D924" s="80"/>
    </row>
    <row r="925">
      <c r="A925" s="84"/>
      <c r="D925" s="80"/>
    </row>
    <row r="926">
      <c r="A926" s="84"/>
      <c r="D926" s="80"/>
    </row>
    <row r="927">
      <c r="A927" s="84"/>
      <c r="D927" s="80"/>
    </row>
    <row r="928">
      <c r="A928" s="84"/>
      <c r="D928" s="80"/>
    </row>
    <row r="929">
      <c r="A929" s="84"/>
      <c r="D929" s="80"/>
    </row>
    <row r="930">
      <c r="A930" s="84"/>
      <c r="D930" s="80"/>
    </row>
    <row r="931">
      <c r="A931" s="84"/>
      <c r="D931" s="80"/>
    </row>
    <row r="932">
      <c r="A932" s="84"/>
      <c r="D932" s="80"/>
    </row>
    <row r="933">
      <c r="A933" s="84"/>
      <c r="D933" s="80"/>
    </row>
    <row r="934">
      <c r="A934" s="84"/>
      <c r="D934" s="80"/>
    </row>
    <row r="935">
      <c r="A935" s="84"/>
      <c r="D935" s="80"/>
    </row>
    <row r="936">
      <c r="A936" s="84"/>
      <c r="D936" s="80"/>
    </row>
    <row r="937">
      <c r="A937" s="84"/>
      <c r="D937" s="80"/>
    </row>
    <row r="938">
      <c r="A938" s="84"/>
      <c r="D938" s="80"/>
    </row>
    <row r="939">
      <c r="A939" s="84"/>
      <c r="D939" s="80"/>
    </row>
    <row r="940">
      <c r="A940" s="84"/>
      <c r="D940" s="80"/>
    </row>
    <row r="941">
      <c r="A941" s="84"/>
      <c r="D941" s="80"/>
    </row>
    <row r="942">
      <c r="A942" s="84"/>
      <c r="D942" s="80"/>
    </row>
    <row r="943">
      <c r="A943" s="84"/>
      <c r="D943" s="80"/>
    </row>
    <row r="944">
      <c r="A944" s="84"/>
      <c r="D944" s="80"/>
    </row>
    <row r="945">
      <c r="A945" s="84"/>
      <c r="D945" s="80"/>
    </row>
    <row r="946">
      <c r="A946" s="84"/>
      <c r="D946" s="80"/>
    </row>
    <row r="947">
      <c r="A947" s="84"/>
      <c r="D947" s="80"/>
    </row>
    <row r="948">
      <c r="A948" s="84"/>
      <c r="D948" s="80"/>
    </row>
    <row r="949">
      <c r="A949" s="84"/>
      <c r="D949" s="80"/>
    </row>
    <row r="950">
      <c r="A950" s="84"/>
      <c r="D950" s="80"/>
    </row>
    <row r="951">
      <c r="A951" s="84"/>
      <c r="D951" s="80"/>
    </row>
    <row r="952">
      <c r="A952" s="84"/>
      <c r="D952" s="80"/>
    </row>
    <row r="953">
      <c r="A953" s="84"/>
      <c r="D953" s="80"/>
    </row>
    <row r="954">
      <c r="A954" s="84"/>
      <c r="D954" s="80"/>
    </row>
    <row r="955">
      <c r="A955" s="84"/>
      <c r="D955" s="80"/>
    </row>
    <row r="956">
      <c r="A956" s="84"/>
      <c r="D956" s="80"/>
    </row>
    <row r="957">
      <c r="A957" s="84"/>
      <c r="D957" s="80"/>
    </row>
    <row r="958">
      <c r="A958" s="84"/>
      <c r="D958" s="80"/>
    </row>
    <row r="959">
      <c r="A959" s="84"/>
      <c r="D959" s="80"/>
    </row>
    <row r="960">
      <c r="A960" s="84"/>
      <c r="D960" s="80"/>
    </row>
    <row r="961">
      <c r="A961" s="84"/>
      <c r="D961" s="80"/>
    </row>
    <row r="962">
      <c r="A962" s="84"/>
      <c r="D962" s="80"/>
    </row>
    <row r="963">
      <c r="A963" s="84"/>
      <c r="D963" s="80"/>
    </row>
    <row r="964">
      <c r="A964" s="84"/>
      <c r="D964" s="80"/>
    </row>
    <row r="965">
      <c r="A965" s="84"/>
      <c r="D965" s="80"/>
    </row>
    <row r="966">
      <c r="A966" s="84"/>
      <c r="D966" s="80"/>
    </row>
    <row r="967">
      <c r="A967" s="84"/>
      <c r="D967" s="80"/>
    </row>
    <row r="968">
      <c r="A968" s="84"/>
      <c r="D968" s="80"/>
    </row>
    <row r="969">
      <c r="A969" s="84"/>
      <c r="D969" s="80"/>
    </row>
    <row r="970">
      <c r="A970" s="84"/>
      <c r="D970" s="80"/>
    </row>
    <row r="971">
      <c r="A971" s="84"/>
      <c r="D971" s="80"/>
    </row>
    <row r="972">
      <c r="A972" s="84"/>
      <c r="D972" s="80"/>
    </row>
    <row r="973">
      <c r="A973" s="84"/>
      <c r="D973" s="80"/>
    </row>
    <row r="974">
      <c r="A974" s="84"/>
      <c r="D974" s="80"/>
    </row>
    <row r="975">
      <c r="A975" s="84"/>
      <c r="D975" s="80"/>
    </row>
    <row r="976">
      <c r="A976" s="84"/>
      <c r="D976" s="80"/>
    </row>
    <row r="977">
      <c r="A977" s="84"/>
      <c r="D977" s="80"/>
    </row>
    <row r="978">
      <c r="A978" s="84"/>
      <c r="D978" s="80"/>
    </row>
    <row r="979">
      <c r="A979" s="84"/>
      <c r="D979" s="80"/>
    </row>
    <row r="980">
      <c r="A980" s="84"/>
      <c r="D980" s="80"/>
    </row>
    <row r="981">
      <c r="A981" s="84"/>
      <c r="D981" s="80"/>
    </row>
    <row r="982">
      <c r="A982" s="84"/>
      <c r="D982" s="80"/>
    </row>
    <row r="983">
      <c r="A983" s="84"/>
      <c r="D983" s="80"/>
    </row>
    <row r="984">
      <c r="A984" s="84"/>
      <c r="D984" s="80"/>
    </row>
    <row r="985">
      <c r="A985" s="84"/>
      <c r="D985" s="80"/>
    </row>
    <row r="986">
      <c r="A986" s="84"/>
      <c r="D986" s="80"/>
    </row>
    <row r="987">
      <c r="A987" s="84"/>
      <c r="D987" s="80"/>
    </row>
    <row r="988">
      <c r="A988" s="84"/>
      <c r="D988" s="80"/>
    </row>
    <row r="989">
      <c r="A989" s="84"/>
      <c r="D989" s="80"/>
    </row>
    <row r="990">
      <c r="A990" s="84"/>
      <c r="D990" s="80"/>
    </row>
    <row r="991">
      <c r="A991" s="84"/>
      <c r="D991" s="80"/>
    </row>
    <row r="992">
      <c r="A992" s="84"/>
      <c r="D992" s="80"/>
    </row>
    <row r="993">
      <c r="A993" s="84"/>
      <c r="D993" s="80"/>
    </row>
    <row r="994">
      <c r="A994" s="84"/>
      <c r="D994" s="80"/>
    </row>
    <row r="995">
      <c r="A995" s="84"/>
      <c r="D995" s="80"/>
    </row>
    <row r="996">
      <c r="A996" s="84"/>
      <c r="D996" s="80"/>
    </row>
    <row r="997">
      <c r="A997" s="84"/>
      <c r="D997" s="80"/>
    </row>
    <row r="998">
      <c r="A998" s="84"/>
      <c r="D998" s="80"/>
    </row>
    <row r="999">
      <c r="A999" s="84"/>
      <c r="D999" s="80"/>
    </row>
    <row r="1000">
      <c r="A1000" s="84"/>
      <c r="D1000" s="80"/>
    </row>
  </sheetData>
  <mergeCells count="1">
    <mergeCell ref="A2:A3"/>
  </mergeCells>
  <drawing r:id="rId1"/>
</worksheet>
</file>